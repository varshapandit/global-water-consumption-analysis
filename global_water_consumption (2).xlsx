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df1b3a5a0d77780/Desktop/"/>
    </mc:Choice>
  </mc:AlternateContent>
  <xr:revisionPtr revIDLastSave="1" documentId="8_{D5B1D348-A6D8-48CA-B45A-7964DD42C0BD}" xr6:coauthVersionLast="47" xr6:coauthVersionMax="47" xr10:uidLastSave="{51745178-27DB-4469-82B2-B1E22A5A0FCC}"/>
  <bookViews>
    <workbookView xWindow="-120" yWindow="-120" windowWidth="20730" windowHeight="11040" firstSheet="1" activeTab="4" xr2:uid="{00000000-000D-0000-FFFF-FFFF00000000}"/>
  </bookViews>
  <sheets>
    <sheet name="global_water_consumption.csv" sheetId="1" r:id="rId1"/>
    <sheet name="KPI Summary" sheetId="2" r:id="rId2"/>
    <sheet name="Pivot Table 1" sheetId="3" r:id="rId3"/>
    <sheet name="Analysis Table" sheetId="4" r:id="rId4"/>
    <sheet name="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5" l="1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B11" i="2"/>
  <c r="B10" i="2"/>
  <c r="E4" i="5" s="1"/>
  <c r="B9" i="2"/>
  <c r="B8" i="2"/>
  <c r="B7" i="2"/>
  <c r="B6" i="2"/>
  <c r="B5" i="2"/>
  <c r="B4" i="2"/>
  <c r="A4" i="5" s="1"/>
</calcChain>
</file>

<file path=xl/sharedStrings.xml><?xml version="1.0" encoding="utf-8"?>
<sst xmlns="http://schemas.openxmlformats.org/spreadsheetml/2006/main" count="1188" uniqueCount="79">
  <si>
    <t>Country</t>
  </si>
  <si>
    <t>Country wise Total Water Consumption</t>
  </si>
  <si>
    <t>Global Water Consumption - KPI Summary</t>
  </si>
  <si>
    <t>Year</t>
  </si>
  <si>
    <t>Total Water Consumption (Billion Cubic Meters)</t>
  </si>
  <si>
    <t>Per Capita Water Use (Liters per Day)</t>
  </si>
  <si>
    <t>Agricultural Water Use (%)</t>
  </si>
  <si>
    <t>Industrial Water Use (%)</t>
  </si>
  <si>
    <t>Household Water Use (%)</t>
  </si>
  <si>
    <t>Rainfall Impact  (Annual Precipitation in mm)</t>
  </si>
  <si>
    <t>Groundwater Depletion Rate (%)</t>
  </si>
  <si>
    <t>Water Scarcity Level</t>
  </si>
  <si>
    <t>KPI</t>
  </si>
  <si>
    <t>RESULT</t>
  </si>
  <si>
    <t>Total Water Consumption</t>
  </si>
  <si>
    <t>Argentina</t>
  </si>
  <si>
    <t>Moderate</t>
  </si>
  <si>
    <t>Average Per Capita Water Use</t>
  </si>
  <si>
    <t>Average Agricultural Water Use</t>
  </si>
  <si>
    <t>Average Industrial Water Use</t>
  </si>
  <si>
    <t>Average Household Water Use</t>
  </si>
  <si>
    <t>Average Annual Precipitation</t>
  </si>
  <si>
    <t>Average groundwater depletion</t>
  </si>
  <si>
    <t xml:space="preserve"> </t>
  </si>
  <si>
    <t>High Water Scarcity Records</t>
  </si>
  <si>
    <t>Low</t>
  </si>
  <si>
    <t>Australia</t>
  </si>
  <si>
    <t>Brazil</t>
  </si>
  <si>
    <t>High</t>
  </si>
  <si>
    <t>Canada</t>
  </si>
  <si>
    <t>China</t>
  </si>
  <si>
    <t>France</t>
  </si>
  <si>
    <t>1. Top 5 countries by total water consumption</t>
  </si>
  <si>
    <t>Germany</t>
  </si>
  <si>
    <t>USA</t>
  </si>
  <si>
    <t>Saudi Arabia</t>
  </si>
  <si>
    <t>2. Bottom 5 countries by total water consumption</t>
  </si>
  <si>
    <t>Spain</t>
  </si>
  <si>
    <t>Turkey</t>
  </si>
  <si>
    <t>Mexico</t>
  </si>
  <si>
    <t>Indonesia</t>
  </si>
  <si>
    <t>UK</t>
  </si>
  <si>
    <t>3.Year-wise total water consumption</t>
  </si>
  <si>
    <t>YOY Change %</t>
  </si>
  <si>
    <t>India</t>
  </si>
  <si>
    <t>4. Top 5 Countries by Per Capita Water Use</t>
  </si>
  <si>
    <t>Per Capita Water Use</t>
  </si>
  <si>
    <t>Italy</t>
  </si>
  <si>
    <t>Russia</t>
  </si>
  <si>
    <t>5. Top 5 Countries by Groundwater Depletion</t>
  </si>
  <si>
    <t>Groundwater Depletion</t>
  </si>
  <si>
    <t>6. Water Scarcity Distribution</t>
  </si>
  <si>
    <t>Water Scarcity level</t>
  </si>
  <si>
    <t>Count</t>
  </si>
  <si>
    <t>7. Sector wise Water Usage</t>
  </si>
  <si>
    <t>Sector</t>
  </si>
  <si>
    <t>Average Water Usage</t>
  </si>
  <si>
    <t>Agriculture</t>
  </si>
  <si>
    <t>Industrial</t>
  </si>
  <si>
    <t>Household</t>
  </si>
  <si>
    <t>GLOBAL WATER CONSUMPTION DASHBOARD</t>
  </si>
  <si>
    <t>Average Groundwater Depletion</t>
  </si>
  <si>
    <t>Japan</t>
  </si>
  <si>
    <t>South Africa</t>
  </si>
  <si>
    <t>South Korea</t>
  </si>
  <si>
    <t>SUM of Total Water Consumption (Billion Cubic Meters)</t>
  </si>
  <si>
    <t>Grand Total</t>
  </si>
  <si>
    <t>Year wise Water Consumption</t>
  </si>
  <si>
    <t>Country Wise Per Capta Water Use</t>
  </si>
  <si>
    <t>AVERAGE of Per Capita Water Use (Liters per Day)</t>
  </si>
  <si>
    <t>Year wise Groundwater Depletion</t>
  </si>
  <si>
    <t>AVERAGE of Groundwater Depletion Rate (%)</t>
  </si>
  <si>
    <t>Country wise Groundwater Depletion</t>
  </si>
  <si>
    <t>Water Scarcity Distribution</t>
  </si>
  <si>
    <t>COUNTA of Country</t>
  </si>
  <si>
    <t>Water Use by Sector</t>
  </si>
  <si>
    <t>AVERAGE of Agricultural Water Use (%)</t>
  </si>
  <si>
    <t>AVERAGE of Industrial Water Use (%)</t>
  </si>
  <si>
    <t>AVERAGE of Household Water Use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</si>
</sst>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sz val="12"/>
      <color theme="1"/>
      <name val="Arial"/>
      <scheme val="minor"/>
    </font>
    <font>
      <b/>
      <sz val="10"/>
      <color theme="1"/>
      <name val="Arial"/>
      <scheme val="minor"/>
    </font>
    <font>
      <b/>
      <sz val="18"/>
      <color theme="1"/>
      <name val="Arial"/>
      <scheme val="minor"/>
    </font>
    <font>
      <b/>
      <sz val="16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1" fillId="0" borderId="0" xfId="0" applyFont="1"/>
    <xf numFmtId="2" fontId="3" fillId="0" borderId="0" xfId="0" applyNumberFormat="1" applyFont="1"/>
    <xf numFmtId="164" fontId="3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/>
    <xf numFmtId="0" fontId="1" fillId="0" borderId="0" xfId="0" applyFont="1" applyAlignment="1">
      <alignment horizontal="right"/>
    </xf>
    <xf numFmtId="10" fontId="3" fillId="0" borderId="0" xfId="0" applyNumberFormat="1" applyFont="1" applyAlignment="1">
      <alignment horizontal="right"/>
    </xf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" fillId="0" borderId="1" xfId="0" applyFont="1" applyBorder="1"/>
    <xf numFmtId="0" fontId="1" fillId="0" borderId="2" xfId="0" applyFont="1" applyBorder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Top 5 Countries by total Water Consumption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'Analysis Table'!$B$3</c:f>
              <c:strCache>
                <c:ptCount val="1"/>
                <c:pt idx="0">
                  <c:v>Total Water Consumption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'Analysis Table'!$A$4:$A$8</c:f>
              <c:strCache>
                <c:ptCount val="5"/>
                <c:pt idx="0">
                  <c:v>Argentina</c:v>
                </c:pt>
                <c:pt idx="1">
                  <c:v>Brazil</c:v>
                </c:pt>
                <c:pt idx="2">
                  <c:v>China</c:v>
                </c:pt>
                <c:pt idx="3">
                  <c:v>USA</c:v>
                </c:pt>
                <c:pt idx="4">
                  <c:v>Saudi Arabia</c:v>
                </c:pt>
              </c:strCache>
            </c:strRef>
          </c:cat>
          <c:val>
            <c:numRef>
              <c:f>'Analysis Table'!$B$4:$B$8</c:f>
              <c:numCache>
                <c:formatCode>0.00</c:formatCode>
                <c:ptCount val="5"/>
                <c:pt idx="0">
                  <c:v>13284.860759399999</c:v>
                </c:pt>
                <c:pt idx="1">
                  <c:v>13263.2874357</c:v>
                </c:pt>
                <c:pt idx="2">
                  <c:v>13133.596733100001</c:v>
                </c:pt>
                <c:pt idx="3">
                  <c:v>13058.950844299996</c:v>
                </c:pt>
                <c:pt idx="4">
                  <c:v>12966.078679099999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B2A-473C-8ADF-38A964DD13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0460686"/>
        <c:axId val="186954431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'Analysis Table'!$B$3</c15:sqref>
                        </c15:formulaRef>
                      </c:ext>
                    </c:extLst>
                    <c:strCache>
                      <c:ptCount val="1"/>
                      <c:pt idx="0">
                        <c:v>Total Water Consumption</c:v>
                      </c:pt>
                    </c:strCache>
                  </c:strRef>
                </c:tx>
                <c:invertIfNegative val="1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'Analysis Table'!$A$4:$A$8</c15:sqref>
                        </c15:formulaRef>
                      </c:ext>
                    </c:extLst>
                    <c:strCache>
                      <c:ptCount val="5"/>
                      <c:pt idx="0">
                        <c:v>Argentina</c:v>
                      </c:pt>
                      <c:pt idx="1">
                        <c:v>Brazil</c:v>
                      </c:pt>
                      <c:pt idx="2">
                        <c:v>China</c:v>
                      </c:pt>
                      <c:pt idx="3">
                        <c:v>USA</c:v>
                      </c:pt>
                      <c:pt idx="4">
                        <c:v>Saudi Arabia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'Analysis Table'!$B$4:$B$8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>
                        <c:v>13284.860759399999</c:v>
                      </c:pt>
                      <c:pt idx="1">
                        <c:v>13263.2874357</c:v>
                      </c:pt>
                      <c:pt idx="2">
                        <c:v>13133.596733100001</c:v>
                      </c:pt>
                      <c:pt idx="3">
                        <c:v>13058.950844299996</c:v>
                      </c:pt>
                      <c:pt idx="4">
                        <c:v>12966.078679099999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B2A-473C-8ADF-38A964DD1371}"/>
                  </c:ext>
                </c:extLst>
              </c15:ser>
            </c15:filteredBarSeries>
          </c:ext>
        </c:extLst>
      </c:barChart>
      <c:catAx>
        <c:axId val="7046068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Arial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69544311"/>
        <c:crosses val="autoZero"/>
        <c:auto val="1"/>
        <c:lblAlgn val="ctr"/>
        <c:lblOffset val="100"/>
        <c:noMultiLvlLbl val="1"/>
      </c:catAx>
      <c:valAx>
        <c:axId val="18695443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Total water consumption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460686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Bottom 5 Countries by Total Water Consumption 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'Analysis Table'!$B$25</c:f>
              <c:strCache>
                <c:ptCount val="1"/>
                <c:pt idx="0">
                  <c:v>Total Water Consumption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'Analysis Table'!$A$26:$A$30</c:f>
              <c:strCache>
                <c:ptCount val="5"/>
                <c:pt idx="0">
                  <c:v>Spain</c:v>
                </c:pt>
                <c:pt idx="1">
                  <c:v>Turkey</c:v>
                </c:pt>
                <c:pt idx="2">
                  <c:v>Mexico</c:v>
                </c:pt>
                <c:pt idx="3">
                  <c:v>Indonesia</c:v>
                </c:pt>
                <c:pt idx="4">
                  <c:v>UK</c:v>
                </c:pt>
              </c:strCache>
            </c:strRef>
          </c:cat>
          <c:val>
            <c:numRef>
              <c:f>'Analysis Table'!$B$26:$B$30</c:f>
              <c:numCache>
                <c:formatCode>0.000</c:formatCode>
                <c:ptCount val="5"/>
                <c:pt idx="0">
                  <c:v>11796.579074899997</c:v>
                </c:pt>
                <c:pt idx="1">
                  <c:v>11882.584873899996</c:v>
                </c:pt>
                <c:pt idx="2">
                  <c:v>12058.054255300001</c:v>
                </c:pt>
                <c:pt idx="3">
                  <c:v>12151.267472199999</c:v>
                </c:pt>
                <c:pt idx="4">
                  <c:v>12161.4747843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2E2-46E1-BFE9-A6C2B35E67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56807721"/>
        <c:axId val="981920248"/>
      </c:barChart>
      <c:catAx>
        <c:axId val="25680772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81920248"/>
        <c:crosses val="autoZero"/>
        <c:auto val="1"/>
        <c:lblAlgn val="ctr"/>
        <c:lblOffset val="100"/>
        <c:noMultiLvlLbl val="1"/>
      </c:catAx>
      <c:valAx>
        <c:axId val="98192024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Total Water Consumption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6807721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Year-wise Total Water Consumption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'Analysis Table'!$B$48</c:f>
              <c:strCache>
                <c:ptCount val="1"/>
                <c:pt idx="0">
                  <c:v>Total Water Consumption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'Analysis Table'!$A$49:$A$73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'Analysis Table'!$B$49:$B$73</c:f>
              <c:numCache>
                <c:formatCode>0.00</c:formatCode>
                <c:ptCount val="25"/>
                <c:pt idx="0">
                  <c:v>10090.381994500001</c:v>
                </c:pt>
                <c:pt idx="1">
                  <c:v>10061.071938499997</c:v>
                </c:pt>
                <c:pt idx="2">
                  <c:v>9498.114950799998</c:v>
                </c:pt>
                <c:pt idx="3">
                  <c:v>10186.875737999999</c:v>
                </c:pt>
                <c:pt idx="4">
                  <c:v>10901.926143199998</c:v>
                </c:pt>
                <c:pt idx="5">
                  <c:v>9124.7585427999984</c:v>
                </c:pt>
                <c:pt idx="6">
                  <c:v>9852.5811366999988</c:v>
                </c:pt>
                <c:pt idx="7">
                  <c:v>10351.435882500002</c:v>
                </c:pt>
                <c:pt idx="8">
                  <c:v>11062.7757846</c:v>
                </c:pt>
                <c:pt idx="9">
                  <c:v>9397.9810486999995</c:v>
                </c:pt>
                <c:pt idx="10">
                  <c:v>9825.1152426999997</c:v>
                </c:pt>
                <c:pt idx="11">
                  <c:v>10499.058374699998</c:v>
                </c:pt>
                <c:pt idx="12">
                  <c:v>10681.364855600001</c:v>
                </c:pt>
                <c:pt idx="13">
                  <c:v>9658.7488183000005</c:v>
                </c:pt>
                <c:pt idx="14">
                  <c:v>10153.322318600003</c:v>
                </c:pt>
                <c:pt idx="15">
                  <c:v>9811.7773113000003</c:v>
                </c:pt>
                <c:pt idx="16">
                  <c:v>9997.2771654000007</c:v>
                </c:pt>
                <c:pt idx="17">
                  <c:v>10370.696665399997</c:v>
                </c:pt>
                <c:pt idx="18">
                  <c:v>10443.218030199998</c:v>
                </c:pt>
                <c:pt idx="19">
                  <c:v>9899.0997263999961</c:v>
                </c:pt>
                <c:pt idx="20">
                  <c:v>9469.3279162999988</c:v>
                </c:pt>
                <c:pt idx="21">
                  <c:v>9609.0259394999994</c:v>
                </c:pt>
                <c:pt idx="22">
                  <c:v>10044.460188899999</c:v>
                </c:pt>
                <c:pt idx="23">
                  <c:v>9627.2027866999997</c:v>
                </c:pt>
                <c:pt idx="24">
                  <c:v>9994.6165897999981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78-49DC-96DE-FA3F0FE73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7570434"/>
        <c:axId val="1212172223"/>
      </c:lineChart>
      <c:catAx>
        <c:axId val="14175704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12172223"/>
        <c:crosses val="autoZero"/>
        <c:auto val="1"/>
        <c:lblAlgn val="ctr"/>
        <c:lblOffset val="100"/>
        <c:noMultiLvlLbl val="1"/>
      </c:catAx>
      <c:valAx>
        <c:axId val="12121722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Total Water Consumption (Billion Cubic Meter)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757043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Per Capita Water Use vs Country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'Analysis Table'!$B$78</c:f>
              <c:strCache>
                <c:ptCount val="1"/>
                <c:pt idx="0">
                  <c:v>Per Capita Water Use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'Analysis Table'!$A$79:$A$88</c15:sqref>
                  </c15:fullRef>
                </c:ext>
              </c:extLst>
              <c:f>'Analysis Table'!$A$79:$A$83</c:f>
              <c:strCache>
                <c:ptCount val="5"/>
                <c:pt idx="0">
                  <c:v>India</c:v>
                </c:pt>
                <c:pt idx="1">
                  <c:v>Italy</c:v>
                </c:pt>
                <c:pt idx="2">
                  <c:v>Turkey</c:v>
                </c:pt>
                <c:pt idx="3">
                  <c:v>UK</c:v>
                </c:pt>
                <c:pt idx="4">
                  <c:v>Russia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'Analysis Table'!$B$79:$B$88</c15:sqref>
                  </c15:fullRef>
                </c:ext>
              </c:extLst>
              <c:f>'Analysis Table'!$B$79:$B$83</c:f>
              <c:numCache>
                <c:formatCode>General</c:formatCode>
                <c:ptCount val="5"/>
                <c:pt idx="0">
                  <c:v>295.16806734000005</c:v>
                </c:pt>
                <c:pt idx="1">
                  <c:v>284.19626263599997</c:v>
                </c:pt>
                <c:pt idx="2">
                  <c:v>281.70347753599998</c:v>
                </c:pt>
                <c:pt idx="3">
                  <c:v>280.99844273599996</c:v>
                </c:pt>
                <c:pt idx="4">
                  <c:v>280.95933000000002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117-488A-9530-1B8CB417B4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424220643"/>
        <c:axId val="1826922361"/>
      </c:barChart>
      <c:catAx>
        <c:axId val="14242206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26922361"/>
        <c:crosses val="autoZero"/>
        <c:auto val="1"/>
        <c:lblAlgn val="ctr"/>
        <c:lblOffset val="100"/>
        <c:noMultiLvlLbl val="1"/>
      </c:catAx>
      <c:valAx>
        <c:axId val="18269223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Per Capita Water Use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24220643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Top 10 Countries by Groundwater Depletion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'Analysis Table'!$B$102</c:f>
              <c:strCache>
                <c:ptCount val="1"/>
                <c:pt idx="0">
                  <c:v>Groundwater Depletion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'Analysis Table'!$A$103:$A$112</c15:sqref>
                  </c15:fullRef>
                </c:ext>
              </c:extLst>
              <c:f>'Analysis Table'!$A$103:$A$107</c:f>
              <c:strCache>
                <c:ptCount val="5"/>
                <c:pt idx="0">
                  <c:v>Canada</c:v>
                </c:pt>
                <c:pt idx="1">
                  <c:v>Mexico</c:v>
                </c:pt>
                <c:pt idx="2">
                  <c:v>Argentina</c:v>
                </c:pt>
                <c:pt idx="3">
                  <c:v>Spain</c:v>
                </c:pt>
                <c:pt idx="4">
                  <c:v>France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'Analysis Table'!$B$103:$B$112</c15:sqref>
                  </c15:fullRef>
                </c:ext>
              </c:extLst>
              <c:f>'Analysis Table'!$B$103:$B$107</c:f>
              <c:numCache>
                <c:formatCode>0.000</c:formatCode>
                <c:ptCount val="5"/>
                <c:pt idx="0">
                  <c:v>2.8336407826399999</c:v>
                </c:pt>
                <c:pt idx="1">
                  <c:v>2.7989727696000011</c:v>
                </c:pt>
                <c:pt idx="2">
                  <c:v>2.6729411519199999</c:v>
                </c:pt>
                <c:pt idx="3">
                  <c:v>2.6466103053199999</c:v>
                </c:pt>
                <c:pt idx="4">
                  <c:v>2.6416592418799998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D60-4263-AFE9-15BBD9CC11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22981486"/>
        <c:axId val="2072938992"/>
      </c:barChart>
      <c:catAx>
        <c:axId val="202298148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72938992"/>
        <c:crosses val="autoZero"/>
        <c:auto val="1"/>
        <c:lblAlgn val="ctr"/>
        <c:lblOffset val="100"/>
        <c:noMultiLvlLbl val="1"/>
      </c:catAx>
      <c:valAx>
        <c:axId val="20729389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Groundwater Depletion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2981486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Water Scarcity Distribution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'Analysis Table'!$B$127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'Analysis Table'!$A$128:$A$130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Moderate</c:v>
                </c:pt>
              </c:strCache>
            </c:strRef>
          </c:cat>
          <c:val>
            <c:numRef>
              <c:f>'Analysis Table'!$B$128:$B$130</c:f>
              <c:numCache>
                <c:formatCode>General</c:formatCode>
                <c:ptCount val="3"/>
                <c:pt idx="0">
                  <c:v>18</c:v>
                </c:pt>
                <c:pt idx="1">
                  <c:v>122</c:v>
                </c:pt>
                <c:pt idx="2">
                  <c:v>360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89A-403A-A71A-E3C19222B2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56650265"/>
        <c:axId val="1476604576"/>
      </c:barChart>
      <c:catAx>
        <c:axId val="85665026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Water Scarcity 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6604576"/>
        <c:crosses val="autoZero"/>
        <c:auto val="1"/>
        <c:lblAlgn val="ctr"/>
        <c:lblOffset val="100"/>
        <c:noMultiLvlLbl val="1"/>
      </c:catAx>
      <c:valAx>
        <c:axId val="147660457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56650265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Average Water Usage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'Analysis Table'!$B$149</c:f>
              <c:strCache>
                <c:ptCount val="1"/>
                <c:pt idx="0">
                  <c:v>Average Water Usage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'Analysis Table'!$A$150:$A$152</c:f>
              <c:strCache>
                <c:ptCount val="3"/>
                <c:pt idx="0">
                  <c:v>Agriculture</c:v>
                </c:pt>
                <c:pt idx="1">
                  <c:v>Industrial</c:v>
                </c:pt>
                <c:pt idx="2">
                  <c:v>Household</c:v>
                </c:pt>
              </c:strCache>
            </c:strRef>
          </c:cat>
          <c:val>
            <c:numRef>
              <c:f>'Analysis Table'!$B$150:$B$152</c:f>
              <c:numCache>
                <c:formatCode>0.00</c:formatCode>
                <c:ptCount val="3"/>
                <c:pt idx="0">
                  <c:v>50.180829405780045</c:v>
                </c:pt>
                <c:pt idx="1">
                  <c:v>27.79</c:v>
                </c:pt>
                <c:pt idx="2">
                  <c:v>24.83251527338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990-4155-906E-9BEB374E0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1394743"/>
        <c:axId val="728514441"/>
      </c:barChart>
      <c:catAx>
        <c:axId val="971394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Sector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28514441"/>
        <c:crosses val="autoZero"/>
        <c:auto val="1"/>
        <c:lblAlgn val="ctr"/>
        <c:lblOffset val="100"/>
        <c:noMultiLvlLbl val="1"/>
      </c:catAx>
      <c:valAx>
        <c:axId val="7285144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Average Water Usage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7139474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Top 5 Countries by total Water Consumption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'Analysis Table'!$B$3</c:f>
              <c:strCache>
                <c:ptCount val="1"/>
                <c:pt idx="0">
                  <c:v>Total Water Consumption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'Analysis Table'!$A$4:$A$8</c:f>
              <c:strCache>
                <c:ptCount val="5"/>
                <c:pt idx="0">
                  <c:v>Argentina</c:v>
                </c:pt>
                <c:pt idx="1">
                  <c:v>Brazil</c:v>
                </c:pt>
                <c:pt idx="2">
                  <c:v>China</c:v>
                </c:pt>
                <c:pt idx="3">
                  <c:v>USA</c:v>
                </c:pt>
                <c:pt idx="4">
                  <c:v>Saudi Arabia</c:v>
                </c:pt>
              </c:strCache>
            </c:strRef>
          </c:cat>
          <c:val>
            <c:numRef>
              <c:f>'Analysis Table'!$B$4:$B$8</c:f>
              <c:numCache>
                <c:formatCode>0.00</c:formatCode>
                <c:ptCount val="5"/>
                <c:pt idx="0">
                  <c:v>13284.860759399999</c:v>
                </c:pt>
                <c:pt idx="1">
                  <c:v>13263.2874357</c:v>
                </c:pt>
                <c:pt idx="2">
                  <c:v>13133.596733100001</c:v>
                </c:pt>
                <c:pt idx="3">
                  <c:v>13058.950844299996</c:v>
                </c:pt>
                <c:pt idx="4">
                  <c:v>12966.078679099999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50B-414F-A043-07230499B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9611071"/>
        <c:axId val="173154970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'Analysis Table'!$B$3</c15:sqref>
                        </c15:formulaRef>
                      </c:ext>
                    </c:extLst>
                    <c:strCache>
                      <c:ptCount val="1"/>
                      <c:pt idx="0">
                        <c:v>Total Water Consumption</c:v>
                      </c:pt>
                    </c:strCache>
                  </c:strRef>
                </c:tx>
                <c:invertIfNegative val="1"/>
                <c:cat>
                  <c:strRef>
                    <c:extLst>
                      <c:ext uri="{02D57815-91ED-43cb-92C2-25804820EDAC}">
                        <c15:formulaRef>
                          <c15:sqref>'Analysis Table'!$A$4:$A$8</c15:sqref>
                        </c15:formulaRef>
                      </c:ext>
                    </c:extLst>
                    <c:strCache>
                      <c:ptCount val="5"/>
                      <c:pt idx="0">
                        <c:v>Argentina</c:v>
                      </c:pt>
                      <c:pt idx="1">
                        <c:v>Brazil</c:v>
                      </c:pt>
                      <c:pt idx="2">
                        <c:v>China</c:v>
                      </c:pt>
                      <c:pt idx="3">
                        <c:v>USA</c:v>
                      </c:pt>
                      <c:pt idx="4">
                        <c:v>Saudi Arabia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'Analysis Table'!$B$4:$B$8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>
                        <c:v>13284.860759399999</c:v>
                      </c:pt>
                      <c:pt idx="1">
                        <c:v>13263.2874357</c:v>
                      </c:pt>
                      <c:pt idx="2">
                        <c:v>13133.596733100001</c:v>
                      </c:pt>
                      <c:pt idx="3">
                        <c:v>13058.950844299996</c:v>
                      </c:pt>
                      <c:pt idx="4">
                        <c:v>12966.078679099999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50B-414F-A043-07230499B298}"/>
                  </c:ext>
                </c:extLst>
              </c15:ser>
            </c15:filteredBarSeries>
          </c:ext>
        </c:extLst>
      </c:barChart>
      <c:catAx>
        <c:axId val="68961107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31549701"/>
        <c:crosses val="autoZero"/>
        <c:auto val="1"/>
        <c:lblAlgn val="ctr"/>
        <c:lblOffset val="100"/>
        <c:noMultiLvlLbl val="1"/>
      </c:catAx>
      <c:valAx>
        <c:axId val="17315497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Total Water consumption 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89611071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Year-wise Total Water Consumption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'Analysis Table'!$B$48</c:f>
              <c:strCache>
                <c:ptCount val="1"/>
                <c:pt idx="0">
                  <c:v>Total Water Consumption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'Analysis Table'!$A$49:$A$73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'Analysis Table'!$B$49:$B$73</c:f>
              <c:numCache>
                <c:formatCode>0.00</c:formatCode>
                <c:ptCount val="25"/>
                <c:pt idx="0">
                  <c:v>10090.381994500001</c:v>
                </c:pt>
                <c:pt idx="1">
                  <c:v>10061.071938499997</c:v>
                </c:pt>
                <c:pt idx="2">
                  <c:v>9498.114950799998</c:v>
                </c:pt>
                <c:pt idx="3">
                  <c:v>10186.875737999999</c:v>
                </c:pt>
                <c:pt idx="4">
                  <c:v>10901.926143199998</c:v>
                </c:pt>
                <c:pt idx="5">
                  <c:v>9124.7585427999984</c:v>
                </c:pt>
                <c:pt idx="6">
                  <c:v>9852.5811366999988</c:v>
                </c:pt>
                <c:pt idx="7">
                  <c:v>10351.435882500002</c:v>
                </c:pt>
                <c:pt idx="8">
                  <c:v>11062.7757846</c:v>
                </c:pt>
                <c:pt idx="9">
                  <c:v>9397.9810486999995</c:v>
                </c:pt>
                <c:pt idx="10">
                  <c:v>9825.1152426999997</c:v>
                </c:pt>
                <c:pt idx="11">
                  <c:v>10499.058374699998</c:v>
                </c:pt>
                <c:pt idx="12">
                  <c:v>10681.364855600001</c:v>
                </c:pt>
                <c:pt idx="13">
                  <c:v>9658.7488183000005</c:v>
                </c:pt>
                <c:pt idx="14">
                  <c:v>10153.322318600003</c:v>
                </c:pt>
                <c:pt idx="15">
                  <c:v>9811.7773113000003</c:v>
                </c:pt>
                <c:pt idx="16">
                  <c:v>9997.2771654000007</c:v>
                </c:pt>
                <c:pt idx="17">
                  <c:v>10370.696665399997</c:v>
                </c:pt>
                <c:pt idx="18">
                  <c:v>10443.218030199998</c:v>
                </c:pt>
                <c:pt idx="19">
                  <c:v>9899.0997263999961</c:v>
                </c:pt>
                <c:pt idx="20">
                  <c:v>9469.3279162999988</c:v>
                </c:pt>
                <c:pt idx="21">
                  <c:v>9609.0259394999994</c:v>
                </c:pt>
                <c:pt idx="22">
                  <c:v>10044.460188899999</c:v>
                </c:pt>
                <c:pt idx="23">
                  <c:v>9627.2027866999997</c:v>
                </c:pt>
                <c:pt idx="24">
                  <c:v>9994.6165897999981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C4-4CAC-9531-27D552533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5816244"/>
        <c:axId val="1453120426"/>
      </c:lineChart>
      <c:catAx>
        <c:axId val="5858162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53120426"/>
        <c:crosses val="autoZero"/>
        <c:auto val="1"/>
        <c:lblAlgn val="ctr"/>
        <c:lblOffset val="100"/>
        <c:noMultiLvlLbl val="1"/>
      </c:catAx>
      <c:valAx>
        <c:axId val="14531204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Total Water Consumption (Billion Cubic Meter)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8581624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Per Capita Water Use vs Country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'Analysis Table'!$B$78</c:f>
              <c:strCache>
                <c:ptCount val="1"/>
                <c:pt idx="0">
                  <c:v>Per Capita Water Use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extLst>
                <c:ext xmlns:c15="http://schemas.microsoft.com/office/drawing/2012/chart" uri="{02D57815-91ED-43cb-92C2-25804820EDAC}">
                  <c15:fullRef>
                    <c15:sqref>'Analysis Table'!$A$79:$A$88</c15:sqref>
                  </c15:fullRef>
                </c:ext>
              </c:extLst>
              <c:f>'Analysis Table'!$A$79:$A$83</c:f>
              <c:strCache>
                <c:ptCount val="5"/>
                <c:pt idx="0">
                  <c:v>India</c:v>
                </c:pt>
                <c:pt idx="1">
                  <c:v>Italy</c:v>
                </c:pt>
                <c:pt idx="2">
                  <c:v>Turkey</c:v>
                </c:pt>
                <c:pt idx="3">
                  <c:v>UK</c:v>
                </c:pt>
                <c:pt idx="4">
                  <c:v>Russia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'Analysis Table'!$B$79:$B$88</c15:sqref>
                  </c15:fullRef>
                </c:ext>
              </c:extLst>
              <c:f>'Analysis Table'!$B$79:$B$83</c:f>
              <c:numCache>
                <c:formatCode>General</c:formatCode>
                <c:ptCount val="5"/>
                <c:pt idx="0">
                  <c:v>295.16806734000005</c:v>
                </c:pt>
                <c:pt idx="1">
                  <c:v>284.19626263599997</c:v>
                </c:pt>
                <c:pt idx="2">
                  <c:v>281.70347753599998</c:v>
                </c:pt>
                <c:pt idx="3">
                  <c:v>280.99844273599996</c:v>
                </c:pt>
                <c:pt idx="4">
                  <c:v>280.95933000000002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B51-4D9F-B1D5-11D37BBA2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9122735"/>
        <c:axId val="1990788948"/>
      </c:barChart>
      <c:catAx>
        <c:axId val="16991227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90788948"/>
        <c:crosses val="autoZero"/>
        <c:auto val="1"/>
        <c:lblAlgn val="ctr"/>
        <c:lblOffset val="100"/>
        <c:noMultiLvlLbl val="1"/>
      </c:catAx>
      <c:valAx>
        <c:axId val="199078894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Per Capita Water Use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99122735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Top 10 Countries by Groundwater Depletion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'Analysis Table'!$B$102</c:f>
              <c:strCache>
                <c:ptCount val="1"/>
                <c:pt idx="0">
                  <c:v>Groundwater Depletion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extLst>
                <c:ext xmlns:c15="http://schemas.microsoft.com/office/drawing/2012/chart" uri="{02D57815-91ED-43cb-92C2-25804820EDAC}">
                  <c15:fullRef>
                    <c15:sqref>'Analysis Table'!$A$103:$A$112</c15:sqref>
                  </c15:fullRef>
                </c:ext>
              </c:extLst>
              <c:f>'Analysis Table'!$A$103:$A$107</c:f>
              <c:strCache>
                <c:ptCount val="5"/>
                <c:pt idx="0">
                  <c:v>Canada</c:v>
                </c:pt>
                <c:pt idx="1">
                  <c:v>Mexico</c:v>
                </c:pt>
                <c:pt idx="2">
                  <c:v>Argentina</c:v>
                </c:pt>
                <c:pt idx="3">
                  <c:v>Spain</c:v>
                </c:pt>
                <c:pt idx="4">
                  <c:v>France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'Analysis Table'!$B$103:$B$112</c15:sqref>
                  </c15:fullRef>
                </c:ext>
              </c:extLst>
              <c:f>'Analysis Table'!$B$103:$B$107</c:f>
              <c:numCache>
                <c:formatCode>0.000</c:formatCode>
                <c:ptCount val="5"/>
                <c:pt idx="0">
                  <c:v>2.8336407826399999</c:v>
                </c:pt>
                <c:pt idx="1">
                  <c:v>2.7989727696000011</c:v>
                </c:pt>
                <c:pt idx="2">
                  <c:v>2.6729411519199999</c:v>
                </c:pt>
                <c:pt idx="3">
                  <c:v>2.6466103053199999</c:v>
                </c:pt>
                <c:pt idx="4">
                  <c:v>2.6416592418799998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88B-464D-8F06-C91F8E49D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8951851"/>
        <c:axId val="907996275"/>
      </c:barChart>
      <c:catAx>
        <c:axId val="177895185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07996275"/>
        <c:crosses val="autoZero"/>
        <c:auto val="1"/>
        <c:lblAlgn val="ctr"/>
        <c:lblOffset val="100"/>
        <c:noMultiLvlLbl val="1"/>
      </c:catAx>
      <c:valAx>
        <c:axId val="9079962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Groundwater Depletion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78951851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Water Scarcity Distribution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'Analysis Table'!$B$127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'Analysis Table'!$A$128:$A$130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Moderate</c:v>
                </c:pt>
              </c:strCache>
            </c:strRef>
          </c:cat>
          <c:val>
            <c:numRef>
              <c:f>'Analysis Table'!$B$128:$B$130</c:f>
              <c:numCache>
                <c:formatCode>General</c:formatCode>
                <c:ptCount val="3"/>
                <c:pt idx="0">
                  <c:v>18</c:v>
                </c:pt>
                <c:pt idx="1">
                  <c:v>122</c:v>
                </c:pt>
                <c:pt idx="2">
                  <c:v>360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935-46CA-8566-2BC5F977D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1850602"/>
        <c:axId val="936396351"/>
      </c:barChart>
      <c:catAx>
        <c:axId val="169185060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Water Scarcity 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36396351"/>
        <c:crosses val="autoZero"/>
        <c:auto val="1"/>
        <c:lblAlgn val="ctr"/>
        <c:lblOffset val="100"/>
        <c:noMultiLvlLbl val="1"/>
      </c:catAx>
      <c:valAx>
        <c:axId val="9363963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91850602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295275</xdr:colOff>
      <xdr:row>0</xdr:row>
      <xdr:rowOff>228600</xdr:rowOff>
    </xdr:from>
    <xdr:ext cx="6096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295275</xdr:colOff>
      <xdr:row>22</xdr:row>
      <xdr:rowOff>228600</xdr:rowOff>
    </xdr:from>
    <xdr:ext cx="6096000" cy="35337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</xdr:col>
      <xdr:colOff>285750</xdr:colOff>
      <xdr:row>52</xdr:row>
      <xdr:rowOff>76200</xdr:rowOff>
    </xdr:from>
    <xdr:ext cx="5715000" cy="353377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4</xdr:col>
      <xdr:colOff>228600</xdr:colOff>
      <xdr:row>77</xdr:row>
      <xdr:rowOff>133350</xdr:rowOff>
    </xdr:from>
    <xdr:ext cx="5715000" cy="3533775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4</xdr:col>
      <xdr:colOff>285750</xdr:colOff>
      <xdr:row>100</xdr:row>
      <xdr:rowOff>114300</xdr:rowOff>
    </xdr:from>
    <xdr:ext cx="5715000" cy="3533775"/>
    <xdr:graphicFrame macro="">
      <xdr:nvGraphicFramePr>
        <xdr:cNvPr id="6" name="Chart 5" title="Chart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4</xdr:col>
      <xdr:colOff>419100</xdr:colOff>
      <xdr:row>125</xdr:row>
      <xdr:rowOff>142875</xdr:rowOff>
    </xdr:from>
    <xdr:ext cx="5715000" cy="3533775"/>
    <xdr:graphicFrame macro="">
      <xdr:nvGraphicFramePr>
        <xdr:cNvPr id="7" name="Chart 6" title="Chart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4</xdr:col>
      <xdr:colOff>352425</xdr:colOff>
      <xdr:row>148</xdr:row>
      <xdr:rowOff>200025</xdr:rowOff>
    </xdr:from>
    <xdr:ext cx="5715000" cy="3533775"/>
    <xdr:graphicFrame macro="">
      <xdr:nvGraphicFramePr>
        <xdr:cNvPr id="8" name="Chart 7" title="Chart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247649</xdr:colOff>
      <xdr:row>6</xdr:row>
      <xdr:rowOff>9525</xdr:rowOff>
    </xdr:from>
    <xdr:ext cx="5019676" cy="2133600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895350</xdr:colOff>
      <xdr:row>6</xdr:row>
      <xdr:rowOff>9525</xdr:rowOff>
    </xdr:from>
    <xdr:ext cx="4229100" cy="2133600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333375</xdr:colOff>
      <xdr:row>18</xdr:row>
      <xdr:rowOff>180975</xdr:rowOff>
    </xdr:from>
    <xdr:ext cx="4229100" cy="2209800"/>
    <xdr:graphicFrame macro="">
      <xdr:nvGraphicFramePr>
        <xdr:cNvPr id="10" name="Chart 10" title="Chart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4</xdr:col>
      <xdr:colOff>885825</xdr:colOff>
      <xdr:row>18</xdr:row>
      <xdr:rowOff>180975</xdr:rowOff>
    </xdr:from>
    <xdr:ext cx="4229100" cy="2190750"/>
    <xdr:graphicFrame macro="">
      <xdr:nvGraphicFramePr>
        <xdr:cNvPr id="11" name="Chart 11" title="Chart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</xdr:col>
      <xdr:colOff>904875</xdr:colOff>
      <xdr:row>32</xdr:row>
      <xdr:rowOff>0</xdr:rowOff>
    </xdr:from>
    <xdr:ext cx="4229100" cy="2000250"/>
    <xdr:graphicFrame macro="">
      <xdr:nvGraphicFramePr>
        <xdr:cNvPr id="12" name="Chart 12" title="Chart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0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11.42578125" customWidth="1"/>
    <col min="3" max="3" width="20.7109375" customWidth="1"/>
    <col min="4" max="4" width="20.42578125" customWidth="1"/>
    <col min="5" max="5" width="17.42578125" customWidth="1"/>
    <col min="6" max="6" width="15.42578125" customWidth="1"/>
    <col min="7" max="7" width="14.42578125" customWidth="1"/>
    <col min="8" max="8" width="21.28515625" customWidth="1"/>
    <col min="9" max="9" width="20" customWidth="1"/>
    <col min="10" max="10" width="13" customWidth="1"/>
  </cols>
  <sheetData>
    <row r="1" spans="1:26" ht="43.5" customHeight="1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 s="5" t="s">
        <v>15</v>
      </c>
      <c r="B2" s="5">
        <v>2000</v>
      </c>
      <c r="C2" s="5">
        <v>481.49</v>
      </c>
      <c r="D2" s="5">
        <v>235.4314286</v>
      </c>
      <c r="E2" s="5">
        <v>48.55</v>
      </c>
      <c r="F2" s="5">
        <v>20.844285710000001</v>
      </c>
      <c r="G2" s="5">
        <v>30.1</v>
      </c>
      <c r="H2" s="5">
        <v>1288.6985709999999</v>
      </c>
      <c r="I2" s="5">
        <v>3.2557142859999999</v>
      </c>
      <c r="J2" s="5" t="s">
        <v>16</v>
      </c>
    </row>
    <row r="3" spans="1:26" ht="12.75" x14ac:dyDescent="0.2">
      <c r="A3" s="5" t="s">
        <v>15</v>
      </c>
      <c r="B3" s="5">
        <v>2001</v>
      </c>
      <c r="C3" s="5">
        <v>455.06299999999999</v>
      </c>
      <c r="D3" s="5">
        <v>299.55099999999999</v>
      </c>
      <c r="E3" s="5">
        <v>48.465000000000003</v>
      </c>
      <c r="F3" s="5">
        <v>26.943000000000001</v>
      </c>
      <c r="G3" s="5">
        <v>22.55</v>
      </c>
      <c r="H3" s="5">
        <v>1371.729</v>
      </c>
      <c r="I3" s="5">
        <v>3.12</v>
      </c>
      <c r="J3" s="5" t="s">
        <v>16</v>
      </c>
    </row>
    <row r="4" spans="1:26" ht="12.75" x14ac:dyDescent="0.2">
      <c r="A4" s="5" t="s">
        <v>15</v>
      </c>
      <c r="B4" s="5">
        <v>2002</v>
      </c>
      <c r="C4" s="5">
        <v>482.74923080000002</v>
      </c>
      <c r="D4" s="5">
        <v>340.12461539999998</v>
      </c>
      <c r="E4" s="5">
        <v>50.375384619999998</v>
      </c>
      <c r="F4" s="5">
        <v>29.042307690000001</v>
      </c>
      <c r="G4" s="5">
        <v>23.349230769999998</v>
      </c>
      <c r="H4" s="5">
        <v>1590.3053849999999</v>
      </c>
      <c r="I4" s="5">
        <v>2.7338461540000001</v>
      </c>
      <c r="J4" s="5" t="s">
        <v>16</v>
      </c>
    </row>
    <row r="5" spans="1:26" ht="12.75" x14ac:dyDescent="0.2">
      <c r="A5" s="5" t="s">
        <v>15</v>
      </c>
      <c r="B5" s="5">
        <v>2003</v>
      </c>
      <c r="C5" s="5">
        <v>452.66</v>
      </c>
      <c r="D5" s="5">
        <v>326.75666669999998</v>
      </c>
      <c r="E5" s="5">
        <v>49.08666667</v>
      </c>
      <c r="F5" s="5">
        <v>30.475999999999999</v>
      </c>
      <c r="G5" s="5">
        <v>24.44</v>
      </c>
      <c r="H5" s="5">
        <v>1816.012667</v>
      </c>
      <c r="I5" s="5">
        <v>2.7080000000000002</v>
      </c>
      <c r="J5" s="5" t="s">
        <v>16</v>
      </c>
    </row>
    <row r="6" spans="1:26" ht="12.75" x14ac:dyDescent="0.2">
      <c r="A6" s="5" t="s">
        <v>15</v>
      </c>
      <c r="B6" s="5">
        <v>2004</v>
      </c>
      <c r="C6" s="5">
        <v>634.56600000000003</v>
      </c>
      <c r="D6" s="5">
        <v>230.346</v>
      </c>
      <c r="E6" s="5">
        <v>38.67</v>
      </c>
      <c r="F6" s="5">
        <v>36.67</v>
      </c>
      <c r="G6" s="5">
        <v>23.923999999999999</v>
      </c>
      <c r="H6" s="5">
        <v>815.99800000000005</v>
      </c>
      <c r="I6" s="5">
        <v>1.9019999999999999</v>
      </c>
      <c r="J6" s="5" t="s">
        <v>16</v>
      </c>
    </row>
    <row r="7" spans="1:26" ht="12.75" x14ac:dyDescent="0.2">
      <c r="A7" s="5" t="s">
        <v>15</v>
      </c>
      <c r="B7" s="5">
        <v>2005</v>
      </c>
      <c r="C7" s="5">
        <v>458.077</v>
      </c>
      <c r="D7" s="5">
        <v>265.012</v>
      </c>
      <c r="E7" s="5">
        <v>59.834000000000003</v>
      </c>
      <c r="F7" s="5">
        <v>29.288</v>
      </c>
      <c r="G7" s="5">
        <v>22.649000000000001</v>
      </c>
      <c r="H7" s="5">
        <v>1826.2929999999999</v>
      </c>
      <c r="I7" s="5">
        <v>2.7240000000000002</v>
      </c>
      <c r="J7" s="5" t="s">
        <v>16</v>
      </c>
    </row>
    <row r="8" spans="1:26" ht="12.75" x14ac:dyDescent="0.2">
      <c r="A8" s="5" t="s">
        <v>15</v>
      </c>
      <c r="B8" s="5">
        <v>2006</v>
      </c>
      <c r="C8" s="5">
        <v>452.98333330000003</v>
      </c>
      <c r="D8" s="5">
        <v>111.70833330000001</v>
      </c>
      <c r="E8" s="5">
        <v>54.96166667</v>
      </c>
      <c r="F8" s="5">
        <v>29.791666670000001</v>
      </c>
      <c r="G8" s="5">
        <v>28.831666670000001</v>
      </c>
      <c r="H8" s="5">
        <v>1318.923333</v>
      </c>
      <c r="I8" s="5">
        <v>3.1333333329999999</v>
      </c>
      <c r="J8" s="5" t="s">
        <v>16</v>
      </c>
    </row>
    <row r="9" spans="1:26" ht="12.75" x14ac:dyDescent="0.2">
      <c r="A9" s="5" t="s">
        <v>15</v>
      </c>
      <c r="B9" s="5">
        <v>2007</v>
      </c>
      <c r="C9" s="5">
        <v>691.10249999999996</v>
      </c>
      <c r="D9" s="5">
        <v>192.815</v>
      </c>
      <c r="E9" s="5">
        <v>41.655000000000001</v>
      </c>
      <c r="F9" s="5">
        <v>16.704999999999998</v>
      </c>
      <c r="G9" s="5">
        <v>20.309999999999999</v>
      </c>
      <c r="H9" s="5">
        <v>1500.8375000000001</v>
      </c>
      <c r="I9" s="5">
        <v>3.5</v>
      </c>
      <c r="J9" s="5" t="s">
        <v>16</v>
      </c>
    </row>
    <row r="10" spans="1:26" ht="12.75" x14ac:dyDescent="0.2">
      <c r="A10" s="5" t="s">
        <v>15</v>
      </c>
      <c r="B10" s="5">
        <v>2008</v>
      </c>
      <c r="C10" s="5">
        <v>494.048</v>
      </c>
      <c r="D10" s="5">
        <v>230.44300000000001</v>
      </c>
      <c r="E10" s="5">
        <v>60.323</v>
      </c>
      <c r="F10" s="5">
        <v>24.483000000000001</v>
      </c>
      <c r="G10" s="5">
        <v>24.21</v>
      </c>
      <c r="H10" s="5">
        <v>1378.952</v>
      </c>
      <c r="I10" s="5">
        <v>3.0059999999999998</v>
      </c>
      <c r="J10" s="5" t="s">
        <v>16</v>
      </c>
    </row>
    <row r="11" spans="1:26" ht="12.75" x14ac:dyDescent="0.2">
      <c r="A11" s="5" t="s">
        <v>15</v>
      </c>
      <c r="B11" s="5">
        <v>2009</v>
      </c>
      <c r="C11" s="5">
        <v>637.87833330000001</v>
      </c>
      <c r="D11" s="5">
        <v>230.68166669999999</v>
      </c>
      <c r="E11" s="5">
        <v>54.916666669999998</v>
      </c>
      <c r="F11" s="5">
        <v>29.051666669999999</v>
      </c>
      <c r="G11" s="5">
        <v>21.21166667</v>
      </c>
      <c r="H11" s="5">
        <v>1141.906667</v>
      </c>
      <c r="I11" s="5">
        <v>2.3566666669999998</v>
      </c>
      <c r="J11" s="5" t="s">
        <v>16</v>
      </c>
    </row>
    <row r="12" spans="1:26" ht="12.75" x14ac:dyDescent="0.2">
      <c r="A12" s="5" t="s">
        <v>15</v>
      </c>
      <c r="B12" s="5">
        <v>2010</v>
      </c>
      <c r="C12" s="5">
        <v>502.875</v>
      </c>
      <c r="D12" s="5">
        <v>216.80699999999999</v>
      </c>
      <c r="E12" s="5">
        <v>49.325000000000003</v>
      </c>
      <c r="F12" s="5">
        <v>23.931999999999999</v>
      </c>
      <c r="G12" s="5">
        <v>25.207999999999998</v>
      </c>
      <c r="H12" s="5">
        <v>1496.221</v>
      </c>
      <c r="I12" s="5">
        <v>2.6709999999999998</v>
      </c>
      <c r="J12" s="5" t="s">
        <v>16</v>
      </c>
    </row>
    <row r="13" spans="1:26" ht="12.75" x14ac:dyDescent="0.2">
      <c r="A13" s="5" t="s">
        <v>15</v>
      </c>
      <c r="B13" s="5">
        <v>2011</v>
      </c>
      <c r="C13" s="5">
        <v>535.33687499999996</v>
      </c>
      <c r="D13" s="5">
        <v>317.69375000000002</v>
      </c>
      <c r="E13" s="5">
        <v>44.387500000000003</v>
      </c>
      <c r="F13" s="5">
        <v>29.157499999999999</v>
      </c>
      <c r="G13" s="5">
        <v>22.778124999999999</v>
      </c>
      <c r="H13" s="5">
        <v>1814.8656249999999</v>
      </c>
      <c r="I13" s="5">
        <v>2.9556249999999999</v>
      </c>
      <c r="J13" s="5" t="s">
        <v>16</v>
      </c>
    </row>
    <row r="14" spans="1:26" ht="12.75" x14ac:dyDescent="0.2">
      <c r="A14" s="5" t="s">
        <v>15</v>
      </c>
      <c r="B14" s="5">
        <v>2012</v>
      </c>
      <c r="C14" s="5">
        <v>556.41166669999996</v>
      </c>
      <c r="D14" s="5">
        <v>248.72</v>
      </c>
      <c r="E14" s="5">
        <v>60.311666670000001</v>
      </c>
      <c r="F14" s="5">
        <v>31.94166667</v>
      </c>
      <c r="G14" s="5">
        <v>23.425000000000001</v>
      </c>
      <c r="H14" s="5">
        <v>1428.521667</v>
      </c>
      <c r="I14" s="5">
        <v>2.5633333330000001</v>
      </c>
      <c r="J14" s="5" t="s">
        <v>16</v>
      </c>
    </row>
    <row r="15" spans="1:26" ht="12.75" x14ac:dyDescent="0.2">
      <c r="A15" s="5" t="s">
        <v>15</v>
      </c>
      <c r="B15" s="5">
        <v>2013</v>
      </c>
      <c r="C15" s="5">
        <v>505.6286667</v>
      </c>
      <c r="D15" s="5">
        <v>265.71800000000002</v>
      </c>
      <c r="E15" s="5">
        <v>48.59933333</v>
      </c>
      <c r="F15" s="5">
        <v>32.003999999999998</v>
      </c>
      <c r="G15" s="5">
        <v>26.01466667</v>
      </c>
      <c r="H15" s="5">
        <v>1375.5160000000001</v>
      </c>
      <c r="I15" s="5">
        <v>3.1539999999999999</v>
      </c>
      <c r="J15" s="5" t="s">
        <v>16</v>
      </c>
    </row>
    <row r="16" spans="1:26" ht="12.75" x14ac:dyDescent="0.2">
      <c r="A16" s="5" t="s">
        <v>15</v>
      </c>
      <c r="B16" s="5">
        <v>2014</v>
      </c>
      <c r="C16" s="5">
        <v>558.16111109999997</v>
      </c>
      <c r="D16" s="5">
        <v>314.2377778</v>
      </c>
      <c r="E16" s="5">
        <v>50.90888889</v>
      </c>
      <c r="F16" s="5">
        <v>24.631111109999999</v>
      </c>
      <c r="G16" s="5">
        <v>25.77444444</v>
      </c>
      <c r="H16" s="5">
        <v>1912.69</v>
      </c>
      <c r="I16" s="5">
        <v>2.4444444440000002</v>
      </c>
      <c r="J16" s="5" t="s">
        <v>16</v>
      </c>
      <c r="K16" s="5" t="s">
        <v>23</v>
      </c>
    </row>
    <row r="17" spans="1:10" ht="12.75" x14ac:dyDescent="0.2">
      <c r="A17" s="5" t="s">
        <v>15</v>
      </c>
      <c r="B17" s="5">
        <v>2015</v>
      </c>
      <c r="C17" s="5">
        <v>565.11500000000001</v>
      </c>
      <c r="D17" s="5">
        <v>288.1383333</v>
      </c>
      <c r="E17" s="5">
        <v>49.5</v>
      </c>
      <c r="F17" s="5">
        <v>22.815000000000001</v>
      </c>
      <c r="G17" s="5">
        <v>28.526666670000001</v>
      </c>
      <c r="H17" s="5">
        <v>1782.6</v>
      </c>
      <c r="I17" s="5">
        <v>2.6166666670000001</v>
      </c>
      <c r="J17" s="5" t="s">
        <v>16</v>
      </c>
    </row>
    <row r="18" spans="1:10" ht="12.75" x14ac:dyDescent="0.2">
      <c r="A18" s="5" t="s">
        <v>15</v>
      </c>
      <c r="B18" s="5">
        <v>2016</v>
      </c>
      <c r="C18" s="5">
        <v>467.31809520000002</v>
      </c>
      <c r="D18" s="5">
        <v>322.0538095</v>
      </c>
      <c r="E18" s="5">
        <v>49.361904760000002</v>
      </c>
      <c r="F18" s="5">
        <v>28.402380950000001</v>
      </c>
      <c r="G18" s="5">
        <v>22.30761905</v>
      </c>
      <c r="H18" s="5">
        <v>1730.01</v>
      </c>
      <c r="I18" s="5">
        <v>2.6428571430000001</v>
      </c>
      <c r="J18" s="5" t="s">
        <v>16</v>
      </c>
    </row>
    <row r="19" spans="1:10" ht="12.75" x14ac:dyDescent="0.2">
      <c r="A19" s="5" t="s">
        <v>15</v>
      </c>
      <c r="B19" s="5">
        <v>2017</v>
      </c>
      <c r="C19" s="5">
        <v>477.19789470000001</v>
      </c>
      <c r="D19" s="5">
        <v>265.23</v>
      </c>
      <c r="E19" s="5">
        <v>56.492631580000001</v>
      </c>
      <c r="F19" s="5">
        <v>29.68</v>
      </c>
      <c r="G19" s="5">
        <v>24.354736840000001</v>
      </c>
      <c r="H19" s="5">
        <v>1665.009474</v>
      </c>
      <c r="I19" s="5">
        <v>2.666315789</v>
      </c>
      <c r="J19" s="5" t="s">
        <v>16</v>
      </c>
    </row>
    <row r="20" spans="1:10" ht="12.75" x14ac:dyDescent="0.2">
      <c r="A20" s="5" t="s">
        <v>15</v>
      </c>
      <c r="B20" s="5">
        <v>2018</v>
      </c>
      <c r="C20" s="5">
        <v>649.13</v>
      </c>
      <c r="D20" s="5">
        <v>281.83199999999999</v>
      </c>
      <c r="E20" s="5">
        <v>54.83</v>
      </c>
      <c r="F20" s="5">
        <v>21.260999999999999</v>
      </c>
      <c r="G20" s="5">
        <v>25.314</v>
      </c>
      <c r="H20" s="5">
        <v>1449.1020000000001</v>
      </c>
      <c r="I20" s="5">
        <v>2.2639999999999998</v>
      </c>
      <c r="J20" s="5" t="s">
        <v>16</v>
      </c>
    </row>
    <row r="21" spans="1:10" ht="12.75" x14ac:dyDescent="0.2">
      <c r="A21" s="5" t="s">
        <v>15</v>
      </c>
      <c r="B21" s="5">
        <v>2019</v>
      </c>
      <c r="C21" s="5">
        <v>484.15666670000002</v>
      </c>
      <c r="D21" s="5">
        <v>268.40222219999998</v>
      </c>
      <c r="E21" s="5">
        <v>55.63555556</v>
      </c>
      <c r="F21" s="5">
        <v>34.484444439999997</v>
      </c>
      <c r="G21" s="5">
        <v>26.718888889999999</v>
      </c>
      <c r="H21" s="5">
        <v>1630.7644439999999</v>
      </c>
      <c r="I21" s="5">
        <v>2.2088888889999998</v>
      </c>
      <c r="J21" s="5" t="s">
        <v>16</v>
      </c>
    </row>
    <row r="22" spans="1:10" ht="12.75" x14ac:dyDescent="0.2">
      <c r="A22" s="5" t="s">
        <v>15</v>
      </c>
      <c r="B22" s="5">
        <v>2020</v>
      </c>
      <c r="C22" s="5">
        <v>582.00800000000004</v>
      </c>
      <c r="D22" s="5">
        <v>289.55399999999997</v>
      </c>
      <c r="E22" s="5">
        <v>66.52</v>
      </c>
      <c r="F22" s="5">
        <v>28.876000000000001</v>
      </c>
      <c r="G22" s="5">
        <v>29.846</v>
      </c>
      <c r="H22" s="5">
        <v>1455.684</v>
      </c>
      <c r="I22" s="5">
        <v>2.0920000000000001</v>
      </c>
      <c r="J22" s="5" t="s">
        <v>16</v>
      </c>
    </row>
    <row r="23" spans="1:10" ht="12.75" x14ac:dyDescent="0.2">
      <c r="A23" s="5" t="s">
        <v>15</v>
      </c>
      <c r="B23" s="5">
        <v>2021</v>
      </c>
      <c r="C23" s="5">
        <v>432.46833329999998</v>
      </c>
      <c r="D23" s="5">
        <v>260.57499999999999</v>
      </c>
      <c r="E23" s="5">
        <v>52.677500000000002</v>
      </c>
      <c r="F23" s="5">
        <v>29.44083333</v>
      </c>
      <c r="G23" s="5">
        <v>22.13</v>
      </c>
      <c r="H23" s="5">
        <v>2076.7633329999999</v>
      </c>
      <c r="I23" s="5">
        <v>2.673333333</v>
      </c>
      <c r="J23" s="5" t="s">
        <v>16</v>
      </c>
    </row>
    <row r="24" spans="1:10" ht="12.75" x14ac:dyDescent="0.2">
      <c r="A24" s="5" t="s">
        <v>15</v>
      </c>
      <c r="B24" s="5">
        <v>2022</v>
      </c>
      <c r="C24" s="5">
        <v>523.88105259999998</v>
      </c>
      <c r="D24" s="5">
        <v>296.7405263</v>
      </c>
      <c r="E24" s="5">
        <v>48.518421050000001</v>
      </c>
      <c r="F24" s="5">
        <v>28.506315789999999</v>
      </c>
      <c r="G24" s="5">
        <v>28.094736839999999</v>
      </c>
      <c r="H24" s="5">
        <v>1160.5763159999999</v>
      </c>
      <c r="I24" s="5">
        <v>3.015789474</v>
      </c>
      <c r="J24" s="5" t="s">
        <v>16</v>
      </c>
    </row>
    <row r="25" spans="1:10" ht="12.75" x14ac:dyDescent="0.2">
      <c r="A25" s="5" t="s">
        <v>15</v>
      </c>
      <c r="B25" s="5">
        <v>2023</v>
      </c>
      <c r="C25" s="5">
        <v>556.76499999999999</v>
      </c>
      <c r="D25" s="5">
        <v>265.32499999999999</v>
      </c>
      <c r="E25" s="5">
        <v>40.841999999999999</v>
      </c>
      <c r="F25" s="5">
        <v>26.099</v>
      </c>
      <c r="G25" s="5">
        <v>29.271999999999998</v>
      </c>
      <c r="H25" s="5">
        <v>1701.7950000000001</v>
      </c>
      <c r="I25" s="5">
        <v>2.13</v>
      </c>
      <c r="J25" s="5" t="s">
        <v>16</v>
      </c>
    </row>
    <row r="26" spans="1:10" ht="12.75" x14ac:dyDescent="0.2">
      <c r="A26" s="5" t="s">
        <v>15</v>
      </c>
      <c r="B26" s="5">
        <v>2024</v>
      </c>
      <c r="C26" s="5">
        <v>647.79</v>
      </c>
      <c r="D26" s="5">
        <v>364.38285710000002</v>
      </c>
      <c r="E26" s="5">
        <v>51.201428569999997</v>
      </c>
      <c r="F26" s="5">
        <v>34.142857139999997</v>
      </c>
      <c r="G26" s="5">
        <v>23.522857139999999</v>
      </c>
      <c r="H26" s="5">
        <v>2283.1571429999999</v>
      </c>
      <c r="I26" s="5">
        <v>2.2857142860000002</v>
      </c>
      <c r="J26" s="5" t="s">
        <v>25</v>
      </c>
    </row>
    <row r="27" spans="1:10" ht="12.75" x14ac:dyDescent="0.2">
      <c r="A27" s="5" t="s">
        <v>26</v>
      </c>
      <c r="B27" s="5">
        <v>2000</v>
      </c>
      <c r="C27" s="5">
        <v>545.04</v>
      </c>
      <c r="D27" s="5">
        <v>296.13</v>
      </c>
      <c r="E27" s="5">
        <v>54.66375</v>
      </c>
      <c r="F27" s="5">
        <v>32.664999999999999</v>
      </c>
      <c r="G27" s="5">
        <v>21.756250000000001</v>
      </c>
      <c r="H27" s="5">
        <v>1549.73125</v>
      </c>
      <c r="I27" s="5">
        <v>2.36625</v>
      </c>
      <c r="J27" s="5" t="s">
        <v>16</v>
      </c>
    </row>
    <row r="28" spans="1:10" ht="12.75" x14ac:dyDescent="0.2">
      <c r="A28" s="5" t="s">
        <v>26</v>
      </c>
      <c r="B28" s="5">
        <v>2001</v>
      </c>
      <c r="C28" s="5">
        <v>448.22899999999998</v>
      </c>
      <c r="D28" s="5">
        <v>247.55600000000001</v>
      </c>
      <c r="E28" s="5">
        <v>46.921999999999997</v>
      </c>
      <c r="F28" s="5">
        <v>23.326000000000001</v>
      </c>
      <c r="G28" s="5">
        <v>26.132000000000001</v>
      </c>
      <c r="H28" s="5">
        <v>1554.3</v>
      </c>
      <c r="I28" s="5">
        <v>2.698</v>
      </c>
      <c r="J28" s="5" t="s">
        <v>16</v>
      </c>
    </row>
    <row r="29" spans="1:10" ht="12.75" x14ac:dyDescent="0.2">
      <c r="A29" s="5" t="s">
        <v>26</v>
      </c>
      <c r="B29" s="5">
        <v>2002</v>
      </c>
      <c r="C29" s="5">
        <v>488.00333330000001</v>
      </c>
      <c r="D29" s="5">
        <v>236.69666670000001</v>
      </c>
      <c r="E29" s="5">
        <v>58.886666669999997</v>
      </c>
      <c r="F29" s="5">
        <v>25.145</v>
      </c>
      <c r="G29" s="5">
        <v>26.341666669999999</v>
      </c>
      <c r="H29" s="5">
        <v>1457.325</v>
      </c>
      <c r="I29" s="5">
        <v>2.2066666669999999</v>
      </c>
      <c r="J29" s="5" t="s">
        <v>16</v>
      </c>
    </row>
    <row r="30" spans="1:10" ht="12.75" x14ac:dyDescent="0.2">
      <c r="A30" s="5" t="s">
        <v>26</v>
      </c>
      <c r="B30" s="5">
        <v>2003</v>
      </c>
      <c r="C30" s="5">
        <v>540.80999999999995</v>
      </c>
      <c r="D30" s="5">
        <v>275.34166670000002</v>
      </c>
      <c r="E30" s="5">
        <v>48.982500000000002</v>
      </c>
      <c r="F30" s="5">
        <v>32.625</v>
      </c>
      <c r="G30" s="5">
        <v>23.827500000000001</v>
      </c>
      <c r="H30" s="5">
        <v>1721.613333</v>
      </c>
      <c r="I30" s="5">
        <v>3.3241666670000001</v>
      </c>
      <c r="J30" s="5" t="s">
        <v>16</v>
      </c>
    </row>
    <row r="31" spans="1:10" ht="12.75" x14ac:dyDescent="0.2">
      <c r="A31" s="5" t="s">
        <v>26</v>
      </c>
      <c r="B31" s="5">
        <v>2004</v>
      </c>
      <c r="C31" s="5">
        <v>503.86642860000001</v>
      </c>
      <c r="D31" s="5">
        <v>261.01571430000001</v>
      </c>
      <c r="E31" s="5">
        <v>51.071428570000002</v>
      </c>
      <c r="F31" s="5">
        <v>27.65071429</v>
      </c>
      <c r="G31" s="5">
        <v>26.558571430000001</v>
      </c>
      <c r="H31" s="5">
        <v>1931.4371430000001</v>
      </c>
      <c r="I31" s="5">
        <v>2.2142857139999998</v>
      </c>
      <c r="J31" s="5" t="s">
        <v>16</v>
      </c>
    </row>
    <row r="32" spans="1:10" ht="12.75" x14ac:dyDescent="0.2">
      <c r="A32" s="5" t="s">
        <v>26</v>
      </c>
      <c r="B32" s="5">
        <v>2005</v>
      </c>
      <c r="C32" s="5">
        <v>503.61</v>
      </c>
      <c r="D32" s="5">
        <v>255.90454550000001</v>
      </c>
      <c r="E32" s="5">
        <v>53.115454550000003</v>
      </c>
      <c r="F32" s="5">
        <v>30.747272729999999</v>
      </c>
      <c r="G32" s="5">
        <v>22.643636359999999</v>
      </c>
      <c r="H32" s="5">
        <v>1392.7081820000001</v>
      </c>
      <c r="I32" s="5">
        <v>2.2527272730000001</v>
      </c>
      <c r="J32" s="5" t="s">
        <v>16</v>
      </c>
    </row>
    <row r="33" spans="1:10" ht="12.75" x14ac:dyDescent="0.2">
      <c r="A33" s="5" t="s">
        <v>26</v>
      </c>
      <c r="B33" s="5">
        <v>2006</v>
      </c>
      <c r="C33" s="5">
        <v>438.37571430000003</v>
      </c>
      <c r="D33" s="5">
        <v>279.74785709999998</v>
      </c>
      <c r="E33" s="5">
        <v>48.02642857</v>
      </c>
      <c r="F33" s="5">
        <v>32.059285709999997</v>
      </c>
      <c r="G33" s="5">
        <v>26.484999999999999</v>
      </c>
      <c r="H33" s="5">
        <v>1300.371429</v>
      </c>
      <c r="I33" s="5">
        <v>2.2828571430000002</v>
      </c>
      <c r="J33" s="5" t="s">
        <v>16</v>
      </c>
    </row>
    <row r="34" spans="1:10" ht="12.75" x14ac:dyDescent="0.2">
      <c r="A34" s="5" t="s">
        <v>26</v>
      </c>
      <c r="B34" s="5">
        <v>2007</v>
      </c>
      <c r="C34" s="5">
        <v>376.92374999999998</v>
      </c>
      <c r="D34" s="5">
        <v>228.62125</v>
      </c>
      <c r="E34" s="5">
        <v>53.561250000000001</v>
      </c>
      <c r="F34" s="5">
        <v>27.13625</v>
      </c>
      <c r="G34" s="5">
        <v>29.672499999999999</v>
      </c>
      <c r="H34" s="5">
        <v>1529.41</v>
      </c>
      <c r="I34" s="5">
        <v>3.19875</v>
      </c>
      <c r="J34" s="5" t="s">
        <v>16</v>
      </c>
    </row>
    <row r="35" spans="1:10" ht="12.75" x14ac:dyDescent="0.2">
      <c r="A35" s="5" t="s">
        <v>26</v>
      </c>
      <c r="B35" s="5">
        <v>2008</v>
      </c>
      <c r="C35" s="5">
        <v>511.38</v>
      </c>
      <c r="D35" s="5">
        <v>238.47</v>
      </c>
      <c r="E35" s="5">
        <v>55.684615379999997</v>
      </c>
      <c r="F35" s="5">
        <v>23.33230769</v>
      </c>
      <c r="G35" s="5">
        <v>26.028461539999999</v>
      </c>
      <c r="H35" s="5">
        <v>1611.926923</v>
      </c>
      <c r="I35" s="5">
        <v>2.0115384619999999</v>
      </c>
      <c r="J35" s="5" t="s">
        <v>16</v>
      </c>
    </row>
    <row r="36" spans="1:10" ht="12.75" x14ac:dyDescent="0.2">
      <c r="A36" s="5" t="s">
        <v>26</v>
      </c>
      <c r="B36" s="5">
        <v>2009</v>
      </c>
      <c r="C36" s="5">
        <v>442.79874999999998</v>
      </c>
      <c r="D36" s="5">
        <v>258.61624999999998</v>
      </c>
      <c r="E36" s="5">
        <v>47.388750000000002</v>
      </c>
      <c r="F36" s="5">
        <v>25.697500000000002</v>
      </c>
      <c r="G36" s="5">
        <v>26.466249999999999</v>
      </c>
      <c r="H36" s="5">
        <v>980.3125</v>
      </c>
      <c r="I36" s="5">
        <v>2.7537500000000001</v>
      </c>
      <c r="J36" s="5" t="s">
        <v>16</v>
      </c>
    </row>
    <row r="37" spans="1:10" ht="12.75" x14ac:dyDescent="0.2">
      <c r="A37" s="5" t="s">
        <v>26</v>
      </c>
      <c r="B37" s="5">
        <v>2010</v>
      </c>
      <c r="C37" s="5">
        <v>556.14599999999996</v>
      </c>
      <c r="D37" s="5">
        <v>235.88200000000001</v>
      </c>
      <c r="E37" s="5">
        <v>43.207999999999998</v>
      </c>
      <c r="F37" s="5">
        <v>25.952000000000002</v>
      </c>
      <c r="G37" s="5">
        <v>27.277000000000001</v>
      </c>
      <c r="H37" s="5">
        <v>1605.123</v>
      </c>
      <c r="I37" s="5">
        <v>3.4430000000000001</v>
      </c>
      <c r="J37" s="5" t="s">
        <v>16</v>
      </c>
    </row>
    <row r="38" spans="1:10" ht="12.75" x14ac:dyDescent="0.2">
      <c r="A38" s="5" t="s">
        <v>26</v>
      </c>
      <c r="B38" s="5">
        <v>2011</v>
      </c>
      <c r="C38" s="5">
        <v>467.77444439999999</v>
      </c>
      <c r="D38" s="5">
        <v>281.51111109999999</v>
      </c>
      <c r="E38" s="5">
        <v>52.68222222</v>
      </c>
      <c r="F38" s="5">
        <v>30.697777779999999</v>
      </c>
      <c r="G38" s="5">
        <v>22.74777778</v>
      </c>
      <c r="H38" s="5">
        <v>1955.7888889999999</v>
      </c>
      <c r="I38" s="5">
        <v>2.9166666669999999</v>
      </c>
      <c r="J38" s="5" t="s">
        <v>16</v>
      </c>
    </row>
    <row r="39" spans="1:10" ht="12.75" x14ac:dyDescent="0.2">
      <c r="A39" s="5" t="s">
        <v>26</v>
      </c>
      <c r="B39" s="5">
        <v>2012</v>
      </c>
      <c r="C39" s="5">
        <v>498.16647060000003</v>
      </c>
      <c r="D39" s="5">
        <v>265.89882349999999</v>
      </c>
      <c r="E39" s="5">
        <v>55.871764710000001</v>
      </c>
      <c r="F39" s="5">
        <v>26.753529409999999</v>
      </c>
      <c r="G39" s="5">
        <v>24.42</v>
      </c>
      <c r="H39" s="5">
        <v>1286.410588</v>
      </c>
      <c r="I39" s="5">
        <v>2.4294117649999998</v>
      </c>
      <c r="J39" s="5" t="s">
        <v>16</v>
      </c>
    </row>
    <row r="40" spans="1:10" ht="12.75" x14ac:dyDescent="0.2">
      <c r="A40" s="5" t="s">
        <v>26</v>
      </c>
      <c r="B40" s="5">
        <v>2013</v>
      </c>
      <c r="C40" s="5">
        <v>426.58416670000003</v>
      </c>
      <c r="D40" s="5">
        <v>258.65583329999998</v>
      </c>
      <c r="E40" s="5">
        <v>53.82833333</v>
      </c>
      <c r="F40" s="5">
        <v>32.014166670000002</v>
      </c>
      <c r="G40" s="5">
        <v>20.19083333</v>
      </c>
      <c r="H40" s="5">
        <v>1619.6324999999999</v>
      </c>
      <c r="I40" s="5">
        <v>2.85</v>
      </c>
      <c r="J40" s="5" t="s">
        <v>16</v>
      </c>
    </row>
    <row r="41" spans="1:10" ht="12.75" x14ac:dyDescent="0.2">
      <c r="A41" s="5" t="s">
        <v>26</v>
      </c>
      <c r="B41" s="5">
        <v>2014</v>
      </c>
      <c r="C41" s="5">
        <v>538.10642859999996</v>
      </c>
      <c r="D41" s="5">
        <v>290.03142860000003</v>
      </c>
      <c r="E41" s="5">
        <v>60.512857140000001</v>
      </c>
      <c r="F41" s="5">
        <v>28.475714289999999</v>
      </c>
      <c r="G41" s="5">
        <v>22.62214286</v>
      </c>
      <c r="H41" s="5">
        <v>1414.902857</v>
      </c>
      <c r="I41" s="5">
        <v>2.522857143</v>
      </c>
      <c r="J41" s="5" t="s">
        <v>16</v>
      </c>
    </row>
    <row r="42" spans="1:10" ht="12.75" x14ac:dyDescent="0.2">
      <c r="A42" s="5" t="s">
        <v>26</v>
      </c>
      <c r="B42" s="5">
        <v>2015</v>
      </c>
      <c r="C42" s="5">
        <v>521.40666669999996</v>
      </c>
      <c r="D42" s="5">
        <v>286.93333330000002</v>
      </c>
      <c r="E42" s="5">
        <v>65.124444440000005</v>
      </c>
      <c r="F42" s="5">
        <v>32.244444440000002</v>
      </c>
      <c r="G42" s="5">
        <v>24.151111109999999</v>
      </c>
      <c r="H42" s="5">
        <v>1394.204444</v>
      </c>
      <c r="I42" s="5">
        <v>3.284444444</v>
      </c>
      <c r="J42" s="5" t="s">
        <v>16</v>
      </c>
    </row>
    <row r="43" spans="1:10" ht="12.75" x14ac:dyDescent="0.2">
      <c r="A43" s="5" t="s">
        <v>26</v>
      </c>
      <c r="B43" s="5">
        <v>2016</v>
      </c>
      <c r="C43" s="5">
        <v>446.72199999999998</v>
      </c>
      <c r="D43" s="5">
        <v>261.39933330000002</v>
      </c>
      <c r="E43" s="5">
        <v>59.505333329999999</v>
      </c>
      <c r="F43" s="5">
        <v>25.97133333</v>
      </c>
      <c r="G43" s="5">
        <v>23.109333329999998</v>
      </c>
      <c r="H43" s="5">
        <v>1370.126</v>
      </c>
      <c r="I43" s="5">
        <v>2.992</v>
      </c>
      <c r="J43" s="5" t="s">
        <v>16</v>
      </c>
    </row>
    <row r="44" spans="1:10" ht="12.75" x14ac:dyDescent="0.2">
      <c r="A44" s="5" t="s">
        <v>26</v>
      </c>
      <c r="B44" s="5">
        <v>2017</v>
      </c>
      <c r="C44" s="5">
        <v>626.71624999999995</v>
      </c>
      <c r="D44" s="5">
        <v>314.84750000000003</v>
      </c>
      <c r="E44" s="5">
        <v>55.92</v>
      </c>
      <c r="F44" s="5">
        <v>31.86375</v>
      </c>
      <c r="G44" s="5">
        <v>24.643750000000001</v>
      </c>
      <c r="H44" s="5">
        <v>1009.385</v>
      </c>
      <c r="I44" s="5">
        <v>2.3737499999999998</v>
      </c>
      <c r="J44" s="5" t="s">
        <v>25</v>
      </c>
    </row>
    <row r="45" spans="1:10" ht="12.75" x14ac:dyDescent="0.2">
      <c r="A45" s="5" t="s">
        <v>26</v>
      </c>
      <c r="B45" s="5">
        <v>2018</v>
      </c>
      <c r="C45" s="5">
        <v>603.29933329999994</v>
      </c>
      <c r="D45" s="5">
        <v>288.71666670000002</v>
      </c>
      <c r="E45" s="5">
        <v>56.090666669999997</v>
      </c>
      <c r="F45" s="5">
        <v>34.11</v>
      </c>
      <c r="G45" s="5">
        <v>25.41866667</v>
      </c>
      <c r="H45" s="5">
        <v>1299.113333</v>
      </c>
      <c r="I45" s="5">
        <v>2.6253333329999999</v>
      </c>
      <c r="J45" s="5" t="s">
        <v>16</v>
      </c>
    </row>
    <row r="46" spans="1:10" ht="12.75" x14ac:dyDescent="0.2">
      <c r="A46" s="5" t="s">
        <v>26</v>
      </c>
      <c r="B46" s="5">
        <v>2019</v>
      </c>
      <c r="C46" s="5">
        <v>548.07166670000004</v>
      </c>
      <c r="D46" s="5">
        <v>299.95999999999998</v>
      </c>
      <c r="E46" s="5">
        <v>40.895000000000003</v>
      </c>
      <c r="F46" s="5">
        <v>24.34</v>
      </c>
      <c r="G46" s="5">
        <v>21.918333329999999</v>
      </c>
      <c r="H46" s="5">
        <v>1457.06</v>
      </c>
      <c r="I46" s="5">
        <v>2.5983333329999998</v>
      </c>
      <c r="J46" s="5" t="s">
        <v>16</v>
      </c>
    </row>
    <row r="47" spans="1:10" ht="12.75" x14ac:dyDescent="0.2">
      <c r="A47" s="5" t="s">
        <v>26</v>
      </c>
      <c r="B47" s="5">
        <v>2020</v>
      </c>
      <c r="C47" s="5">
        <v>484.79874999999998</v>
      </c>
      <c r="D47" s="5">
        <v>292.505</v>
      </c>
      <c r="E47" s="5">
        <v>48.473750000000003</v>
      </c>
      <c r="F47" s="5">
        <v>23.68</v>
      </c>
      <c r="G47" s="5">
        <v>27.546250000000001</v>
      </c>
      <c r="H47" s="5">
        <v>1549.6187500000001</v>
      </c>
      <c r="I47" s="5">
        <v>2.38</v>
      </c>
      <c r="J47" s="5" t="s">
        <v>16</v>
      </c>
    </row>
    <row r="48" spans="1:10" ht="12.75" x14ac:dyDescent="0.2">
      <c r="A48" s="5" t="s">
        <v>26</v>
      </c>
      <c r="B48" s="5">
        <v>2021</v>
      </c>
      <c r="C48" s="5">
        <v>659.45111110000005</v>
      </c>
      <c r="D48" s="5">
        <v>288.94888889999999</v>
      </c>
      <c r="E48" s="5">
        <v>41.391111109999997</v>
      </c>
      <c r="F48" s="5">
        <v>25.623333330000001</v>
      </c>
      <c r="G48" s="5">
        <v>26.464444440000001</v>
      </c>
      <c r="H48" s="5">
        <v>1640.8244440000001</v>
      </c>
      <c r="I48" s="5">
        <v>2.0122222220000001</v>
      </c>
      <c r="J48" s="5" t="s">
        <v>16</v>
      </c>
    </row>
    <row r="49" spans="1:10" ht="12.75" x14ac:dyDescent="0.2">
      <c r="A49" s="5" t="s">
        <v>26</v>
      </c>
      <c r="B49" s="5">
        <v>2022</v>
      </c>
      <c r="C49" s="5">
        <v>477.698125</v>
      </c>
      <c r="D49" s="5">
        <v>298.38499999999999</v>
      </c>
      <c r="E49" s="5">
        <v>53.025624999999998</v>
      </c>
      <c r="F49" s="5">
        <v>25.974374999999998</v>
      </c>
      <c r="G49" s="5">
        <v>25.078125</v>
      </c>
      <c r="H49" s="5">
        <v>1411.735625</v>
      </c>
      <c r="I49" s="5">
        <v>2.8487499999999999</v>
      </c>
      <c r="J49" s="5" t="s">
        <v>16</v>
      </c>
    </row>
    <row r="50" spans="1:10" ht="12.75" x14ac:dyDescent="0.2">
      <c r="A50" s="5" t="s">
        <v>26</v>
      </c>
      <c r="B50" s="5">
        <v>2023</v>
      </c>
      <c r="C50" s="5">
        <v>207.79499999999999</v>
      </c>
      <c r="D50" s="5">
        <v>322.38666669999998</v>
      </c>
      <c r="E50" s="5">
        <v>59.688333329999999</v>
      </c>
      <c r="F50" s="5">
        <v>40.568333330000002</v>
      </c>
      <c r="G50" s="5">
        <v>30.145</v>
      </c>
      <c r="H50" s="5">
        <v>1297.586667</v>
      </c>
      <c r="I50" s="5">
        <v>2.5099999999999998</v>
      </c>
      <c r="J50" s="5" t="s">
        <v>25</v>
      </c>
    </row>
    <row r="51" spans="1:10" ht="12.75" x14ac:dyDescent="0.2">
      <c r="A51" s="5" t="s">
        <v>26</v>
      </c>
      <c r="B51" s="5">
        <v>2024</v>
      </c>
      <c r="C51" s="5">
        <v>644.005</v>
      </c>
      <c r="D51" s="5">
        <v>253.959</v>
      </c>
      <c r="E51" s="5">
        <v>55.512999999999998</v>
      </c>
      <c r="F51" s="5">
        <v>29.457000000000001</v>
      </c>
      <c r="G51" s="5">
        <v>26.867999999999999</v>
      </c>
      <c r="H51" s="5">
        <v>1535.133</v>
      </c>
      <c r="I51" s="5">
        <v>1.6559999999999999</v>
      </c>
      <c r="J51" s="5" t="s">
        <v>16</v>
      </c>
    </row>
    <row r="52" spans="1:10" ht="12.75" x14ac:dyDescent="0.2">
      <c r="A52" s="5" t="s">
        <v>27</v>
      </c>
      <c r="B52" s="5">
        <v>2000</v>
      </c>
      <c r="C52" s="5">
        <v>535.30285709999998</v>
      </c>
      <c r="D52" s="5">
        <v>254.05857140000001</v>
      </c>
      <c r="E52" s="5">
        <v>48.392857139999997</v>
      </c>
      <c r="F52" s="5">
        <v>21.062857139999998</v>
      </c>
      <c r="G52" s="5">
        <v>25.734285710000002</v>
      </c>
      <c r="H52" s="5">
        <v>1835.337143</v>
      </c>
      <c r="I52" s="5">
        <v>2.5671428569999999</v>
      </c>
      <c r="J52" s="5" t="s">
        <v>16</v>
      </c>
    </row>
    <row r="53" spans="1:10" ht="12.75" x14ac:dyDescent="0.2">
      <c r="A53" s="5" t="s">
        <v>27</v>
      </c>
      <c r="B53" s="5">
        <v>2001</v>
      </c>
      <c r="C53" s="5">
        <v>639.00909090000005</v>
      </c>
      <c r="D53" s="5">
        <v>200.5309091</v>
      </c>
      <c r="E53" s="5">
        <v>54.661818179999997</v>
      </c>
      <c r="F53" s="5">
        <v>34.167272730000001</v>
      </c>
      <c r="G53" s="5">
        <v>21.845454549999999</v>
      </c>
      <c r="H53" s="5">
        <v>1524.764545</v>
      </c>
      <c r="I53" s="5">
        <v>2.7990909089999998</v>
      </c>
      <c r="J53" s="5" t="s">
        <v>16</v>
      </c>
    </row>
    <row r="54" spans="1:10" ht="12.75" x14ac:dyDescent="0.2">
      <c r="A54" s="5" t="s">
        <v>27</v>
      </c>
      <c r="B54" s="5">
        <v>2002</v>
      </c>
      <c r="C54" s="5">
        <v>433.875</v>
      </c>
      <c r="D54" s="5">
        <v>286.58600000000001</v>
      </c>
      <c r="E54" s="5">
        <v>54.406999999999996</v>
      </c>
      <c r="F54" s="5">
        <v>24.681000000000001</v>
      </c>
      <c r="G54" s="5">
        <v>23.399000000000001</v>
      </c>
      <c r="H54" s="5">
        <v>2000.491</v>
      </c>
      <c r="I54" s="5">
        <v>2.383</v>
      </c>
      <c r="J54" s="5" t="s">
        <v>16</v>
      </c>
    </row>
    <row r="55" spans="1:10" ht="12.75" x14ac:dyDescent="0.2">
      <c r="A55" s="5" t="s">
        <v>27</v>
      </c>
      <c r="B55" s="5">
        <v>2003</v>
      </c>
      <c r="C55" s="5">
        <v>613.36</v>
      </c>
      <c r="D55" s="5">
        <v>346.6015385</v>
      </c>
      <c r="E55" s="5">
        <v>55.85</v>
      </c>
      <c r="F55" s="5">
        <v>30.472307690000001</v>
      </c>
      <c r="G55" s="5">
        <v>27.447692310000001</v>
      </c>
      <c r="H55" s="5">
        <v>1511.2869229999999</v>
      </c>
      <c r="I55" s="5">
        <v>2.8776923079999999</v>
      </c>
      <c r="J55" s="5" t="s">
        <v>25</v>
      </c>
    </row>
    <row r="56" spans="1:10" ht="12.75" x14ac:dyDescent="0.2">
      <c r="A56" s="5" t="s">
        <v>27</v>
      </c>
      <c r="B56" s="5">
        <v>2004</v>
      </c>
      <c r="C56" s="5">
        <v>511.8836364</v>
      </c>
      <c r="D56" s="5">
        <v>248.62818179999999</v>
      </c>
      <c r="E56" s="5">
        <v>51.447272730000002</v>
      </c>
      <c r="F56" s="5">
        <v>32.373636359999999</v>
      </c>
      <c r="G56" s="5">
        <v>22.470909089999999</v>
      </c>
      <c r="H56" s="5">
        <v>1641.064545</v>
      </c>
      <c r="I56" s="5">
        <v>2.613636364</v>
      </c>
      <c r="J56" s="5" t="s">
        <v>16</v>
      </c>
    </row>
    <row r="57" spans="1:10" ht="12.75" x14ac:dyDescent="0.2">
      <c r="A57" s="5" t="s">
        <v>27</v>
      </c>
      <c r="B57" s="5">
        <v>2005</v>
      </c>
      <c r="C57" s="5">
        <v>560.62666669999999</v>
      </c>
      <c r="D57" s="5">
        <v>274.18666669999999</v>
      </c>
      <c r="E57" s="5">
        <v>47.742222220000002</v>
      </c>
      <c r="F57" s="5">
        <v>26.632222219999999</v>
      </c>
      <c r="G57" s="5">
        <v>19.81555556</v>
      </c>
      <c r="H57" s="5">
        <v>1706.97</v>
      </c>
      <c r="I57" s="5">
        <v>2.6755555559999999</v>
      </c>
      <c r="J57" s="5" t="s">
        <v>16</v>
      </c>
    </row>
    <row r="58" spans="1:10" ht="12.75" x14ac:dyDescent="0.2">
      <c r="A58" s="5" t="s">
        <v>27</v>
      </c>
      <c r="B58" s="5">
        <v>2006</v>
      </c>
      <c r="C58" s="5">
        <v>781.34285709999995</v>
      </c>
      <c r="D58" s="5">
        <v>236.87</v>
      </c>
      <c r="E58" s="5">
        <v>50.325714290000001</v>
      </c>
      <c r="F58" s="5">
        <v>36.270000000000003</v>
      </c>
      <c r="G58" s="5">
        <v>27.444285709999999</v>
      </c>
      <c r="H58" s="5">
        <v>1818.135714</v>
      </c>
      <c r="I58" s="5">
        <v>2.331428571</v>
      </c>
      <c r="J58" s="5" t="s">
        <v>16</v>
      </c>
    </row>
    <row r="59" spans="1:10" ht="12.75" x14ac:dyDescent="0.2">
      <c r="A59" s="5" t="s">
        <v>27</v>
      </c>
      <c r="B59" s="5">
        <v>2007</v>
      </c>
      <c r="C59" s="5">
        <v>642.85833330000003</v>
      </c>
      <c r="D59" s="5">
        <v>285.68166669999999</v>
      </c>
      <c r="E59" s="5">
        <v>52.52</v>
      </c>
      <c r="F59" s="5">
        <v>26.153333329999999</v>
      </c>
      <c r="G59" s="5">
        <v>17.376666669999999</v>
      </c>
      <c r="H59" s="5">
        <v>1863.853333</v>
      </c>
      <c r="I59" s="5">
        <v>2.2116666669999998</v>
      </c>
      <c r="J59" s="5" t="s">
        <v>16</v>
      </c>
    </row>
    <row r="60" spans="1:10" ht="12.75" x14ac:dyDescent="0.2">
      <c r="A60" s="5" t="s">
        <v>27</v>
      </c>
      <c r="B60" s="5">
        <v>2008</v>
      </c>
      <c r="C60" s="5">
        <v>665.50166669999999</v>
      </c>
      <c r="D60" s="5">
        <v>273.875</v>
      </c>
      <c r="E60" s="5">
        <v>42.34</v>
      </c>
      <c r="F60" s="5">
        <v>28.61333333</v>
      </c>
      <c r="G60" s="5">
        <v>23.34333333</v>
      </c>
      <c r="H60" s="5">
        <v>1356.3066670000001</v>
      </c>
      <c r="I60" s="5">
        <v>2.8533333330000001</v>
      </c>
      <c r="J60" s="5" t="s">
        <v>16</v>
      </c>
    </row>
    <row r="61" spans="1:10" ht="12.75" x14ac:dyDescent="0.2">
      <c r="A61" s="5" t="s">
        <v>27</v>
      </c>
      <c r="B61" s="5">
        <v>2009</v>
      </c>
      <c r="C61" s="5">
        <v>498.70666670000003</v>
      </c>
      <c r="D61" s="5">
        <v>278.94555559999998</v>
      </c>
      <c r="E61" s="5">
        <v>53.11</v>
      </c>
      <c r="F61" s="5">
        <v>27.856666669999999</v>
      </c>
      <c r="G61" s="5">
        <v>26.012222220000002</v>
      </c>
      <c r="H61" s="5">
        <v>1459.541111</v>
      </c>
      <c r="I61" s="5">
        <v>2.817777778</v>
      </c>
      <c r="J61" s="5" t="s">
        <v>16</v>
      </c>
    </row>
    <row r="62" spans="1:10" ht="12.75" x14ac:dyDescent="0.2">
      <c r="A62" s="5" t="s">
        <v>27</v>
      </c>
      <c r="B62" s="5">
        <v>2010</v>
      </c>
      <c r="C62" s="5">
        <v>337.03666670000001</v>
      </c>
      <c r="D62" s="5">
        <v>230.10777780000001</v>
      </c>
      <c r="E62" s="5">
        <v>55.208888889999997</v>
      </c>
      <c r="F62" s="5">
        <v>21.985555560000002</v>
      </c>
      <c r="G62" s="5">
        <v>25.16111111</v>
      </c>
      <c r="H62" s="5">
        <v>1933.6722219999999</v>
      </c>
      <c r="I62" s="5">
        <v>1.643333333</v>
      </c>
      <c r="J62" s="5" t="s">
        <v>16</v>
      </c>
    </row>
    <row r="63" spans="1:10" ht="12.75" x14ac:dyDescent="0.2">
      <c r="A63" s="5" t="s">
        <v>27</v>
      </c>
      <c r="B63" s="5">
        <v>2011</v>
      </c>
      <c r="C63" s="5">
        <v>483.58249999999998</v>
      </c>
      <c r="D63" s="5">
        <v>266.68333330000002</v>
      </c>
      <c r="E63" s="5">
        <v>47.615000000000002</v>
      </c>
      <c r="F63" s="5">
        <v>25.46833333</v>
      </c>
      <c r="G63" s="5">
        <v>28.004999999999999</v>
      </c>
      <c r="H63" s="5">
        <v>1403.9416670000001</v>
      </c>
      <c r="I63" s="5">
        <v>2.7791666670000001</v>
      </c>
      <c r="J63" s="5" t="s">
        <v>16</v>
      </c>
    </row>
    <row r="64" spans="1:10" ht="12.75" x14ac:dyDescent="0.2">
      <c r="A64" s="5" t="s">
        <v>27</v>
      </c>
      <c r="B64" s="5">
        <v>2012</v>
      </c>
      <c r="C64" s="5">
        <v>469.02499999999998</v>
      </c>
      <c r="D64" s="5">
        <v>331.63749999999999</v>
      </c>
      <c r="E64" s="5">
        <v>36.372500000000002</v>
      </c>
      <c r="F64" s="5">
        <v>22.017499999999998</v>
      </c>
      <c r="G64" s="5">
        <v>25.947500000000002</v>
      </c>
      <c r="H64" s="5">
        <v>1650.9349999999999</v>
      </c>
      <c r="I64" s="5">
        <v>2.2374999999999998</v>
      </c>
      <c r="J64" s="5" t="s">
        <v>25</v>
      </c>
    </row>
    <row r="65" spans="1:10" ht="12.75" x14ac:dyDescent="0.2">
      <c r="A65" s="5" t="s">
        <v>27</v>
      </c>
      <c r="B65" s="5">
        <v>2013</v>
      </c>
      <c r="C65" s="5">
        <v>562.74125000000004</v>
      </c>
      <c r="D65" s="5">
        <v>197.11875000000001</v>
      </c>
      <c r="E65" s="5">
        <v>47.295000000000002</v>
      </c>
      <c r="F65" s="5">
        <v>18.057500000000001</v>
      </c>
      <c r="G65" s="5">
        <v>27.916250000000002</v>
      </c>
      <c r="H65" s="5">
        <v>1699.5787499999999</v>
      </c>
      <c r="I65" s="5">
        <v>2.7837499999999999</v>
      </c>
      <c r="J65" s="5" t="s">
        <v>28</v>
      </c>
    </row>
    <row r="66" spans="1:10" ht="12.75" x14ac:dyDescent="0.2">
      <c r="A66" s="5" t="s">
        <v>27</v>
      </c>
      <c r="B66" s="5">
        <v>2014</v>
      </c>
      <c r="C66" s="5">
        <v>559.11199999999997</v>
      </c>
      <c r="D66" s="5">
        <v>317.39400000000001</v>
      </c>
      <c r="E66" s="5">
        <v>58.716000000000001</v>
      </c>
      <c r="F66" s="5">
        <v>28.481333329999998</v>
      </c>
      <c r="G66" s="5">
        <v>27.96533333</v>
      </c>
      <c r="H66" s="5">
        <v>1647.2653330000001</v>
      </c>
      <c r="I66" s="5">
        <v>2.2713333329999998</v>
      </c>
      <c r="J66" s="5" t="s">
        <v>25</v>
      </c>
    </row>
    <row r="67" spans="1:10" ht="12.75" x14ac:dyDescent="0.2">
      <c r="A67" s="5" t="s">
        <v>27</v>
      </c>
      <c r="B67" s="5">
        <v>2015</v>
      </c>
      <c r="C67" s="5">
        <v>574.58153849999997</v>
      </c>
      <c r="D67" s="5">
        <v>348.33846149999999</v>
      </c>
      <c r="E67" s="5">
        <v>47.073076919999998</v>
      </c>
      <c r="F67" s="5">
        <v>33.684615379999997</v>
      </c>
      <c r="G67" s="5">
        <v>22.42307692</v>
      </c>
      <c r="H67" s="5">
        <v>1569.4330769999999</v>
      </c>
      <c r="I67" s="5">
        <v>1.808461538</v>
      </c>
      <c r="J67" s="5" t="s">
        <v>25</v>
      </c>
    </row>
    <row r="68" spans="1:10" ht="12.75" x14ac:dyDescent="0.2">
      <c r="A68" s="5" t="s">
        <v>27</v>
      </c>
      <c r="B68" s="5">
        <v>2016</v>
      </c>
      <c r="C68" s="5">
        <v>501.79230769999998</v>
      </c>
      <c r="D68" s="5">
        <v>289.30461539999999</v>
      </c>
      <c r="E68" s="5">
        <v>50.249230769999997</v>
      </c>
      <c r="F68" s="5">
        <v>28.603076919999999</v>
      </c>
      <c r="G68" s="5">
        <v>27.306923080000001</v>
      </c>
      <c r="H68" s="5">
        <v>2017.038462</v>
      </c>
      <c r="I68" s="5">
        <v>3.0084615380000002</v>
      </c>
      <c r="J68" s="5" t="s">
        <v>16</v>
      </c>
    </row>
    <row r="69" spans="1:10" ht="12.75" x14ac:dyDescent="0.2">
      <c r="A69" s="5" t="s">
        <v>27</v>
      </c>
      <c r="B69" s="5">
        <v>2017</v>
      </c>
      <c r="C69" s="5">
        <v>574.56299999999999</v>
      </c>
      <c r="D69" s="5">
        <v>292.3</v>
      </c>
      <c r="E69" s="5">
        <v>45.356999999999999</v>
      </c>
      <c r="F69" s="5">
        <v>27.285</v>
      </c>
      <c r="G69" s="5">
        <v>26.175999999999998</v>
      </c>
      <c r="H69" s="5">
        <v>1338.94</v>
      </c>
      <c r="I69" s="5">
        <v>2.1890000000000001</v>
      </c>
      <c r="J69" s="5" t="s">
        <v>16</v>
      </c>
    </row>
    <row r="70" spans="1:10" ht="12.75" x14ac:dyDescent="0.2">
      <c r="A70" s="5" t="s">
        <v>27</v>
      </c>
      <c r="B70" s="5">
        <v>2018</v>
      </c>
      <c r="C70" s="5">
        <v>287.15666670000002</v>
      </c>
      <c r="D70" s="5">
        <v>248.6733333</v>
      </c>
      <c r="E70" s="5">
        <v>42.208333330000002</v>
      </c>
      <c r="F70" s="5">
        <v>26.998333330000001</v>
      </c>
      <c r="G70" s="5">
        <v>27.89</v>
      </c>
      <c r="H70" s="5">
        <v>1074.9349999999999</v>
      </c>
      <c r="I70" s="5">
        <v>2.69</v>
      </c>
      <c r="J70" s="5" t="s">
        <v>16</v>
      </c>
    </row>
    <row r="71" spans="1:10" ht="12.75" x14ac:dyDescent="0.2">
      <c r="A71" s="5" t="s">
        <v>27</v>
      </c>
      <c r="B71" s="5">
        <v>2019</v>
      </c>
      <c r="C71" s="5">
        <v>497.8663636</v>
      </c>
      <c r="D71" s="5">
        <v>228.56272730000001</v>
      </c>
      <c r="E71" s="5">
        <v>60.828181819999998</v>
      </c>
      <c r="F71" s="5">
        <v>25.43727273</v>
      </c>
      <c r="G71" s="5">
        <v>24.237272730000001</v>
      </c>
      <c r="H71" s="5">
        <v>1452.0163640000001</v>
      </c>
      <c r="I71" s="5">
        <v>2.8790909089999999</v>
      </c>
      <c r="J71" s="5" t="s">
        <v>16</v>
      </c>
    </row>
    <row r="72" spans="1:10" ht="12.75" x14ac:dyDescent="0.2">
      <c r="A72" s="5" t="s">
        <v>27</v>
      </c>
      <c r="B72" s="5">
        <v>2020</v>
      </c>
      <c r="C72" s="5">
        <v>553.05411760000004</v>
      </c>
      <c r="D72" s="5">
        <v>261.3735294</v>
      </c>
      <c r="E72" s="5">
        <v>47.095294119999998</v>
      </c>
      <c r="F72" s="5">
        <v>29.153529410000001</v>
      </c>
      <c r="G72" s="5">
        <v>27.908823529999999</v>
      </c>
      <c r="H72" s="5">
        <v>1771.8147059999999</v>
      </c>
      <c r="I72" s="5">
        <v>2.6535294120000001</v>
      </c>
      <c r="J72" s="5" t="s">
        <v>16</v>
      </c>
    </row>
    <row r="73" spans="1:10" ht="12.75" x14ac:dyDescent="0.2">
      <c r="A73" s="5" t="s">
        <v>27</v>
      </c>
      <c r="B73" s="5">
        <v>2021</v>
      </c>
      <c r="C73" s="5">
        <v>457.14</v>
      </c>
      <c r="D73" s="5">
        <v>264.78125</v>
      </c>
      <c r="E73" s="5">
        <v>45.7425</v>
      </c>
      <c r="F73" s="5">
        <v>27.22</v>
      </c>
      <c r="G73" s="5">
        <v>21.182500000000001</v>
      </c>
      <c r="H73" s="5">
        <v>1620.6937499999999</v>
      </c>
      <c r="I73" s="5">
        <v>2.2787500000000001</v>
      </c>
      <c r="J73" s="5" t="s">
        <v>16</v>
      </c>
    </row>
    <row r="74" spans="1:10" ht="12.75" x14ac:dyDescent="0.2">
      <c r="A74" s="5" t="s">
        <v>27</v>
      </c>
      <c r="B74" s="5">
        <v>2022</v>
      </c>
      <c r="C74" s="5">
        <v>417.74799999999999</v>
      </c>
      <c r="D74" s="5">
        <v>289.60500000000002</v>
      </c>
      <c r="E74" s="5">
        <v>53.948999999999998</v>
      </c>
      <c r="F74" s="5">
        <v>22.364000000000001</v>
      </c>
      <c r="G74" s="5">
        <v>24.084</v>
      </c>
      <c r="H74" s="5">
        <v>1606.203</v>
      </c>
      <c r="I74" s="5">
        <v>2.56</v>
      </c>
      <c r="J74" s="5" t="s">
        <v>16</v>
      </c>
    </row>
    <row r="75" spans="1:10" ht="12.75" x14ac:dyDescent="0.2">
      <c r="A75" s="5" t="s">
        <v>27</v>
      </c>
      <c r="B75" s="5">
        <v>2023</v>
      </c>
      <c r="C75" s="5">
        <v>688.23249999999996</v>
      </c>
      <c r="D75" s="5">
        <v>336.95875000000001</v>
      </c>
      <c r="E75" s="5">
        <v>39.914999999999999</v>
      </c>
      <c r="F75" s="5">
        <v>21.912500000000001</v>
      </c>
      <c r="G75" s="5">
        <v>26.521249999999998</v>
      </c>
      <c r="H75" s="5">
        <v>1420.5462500000001</v>
      </c>
      <c r="I75" s="5">
        <v>1.8287500000000001</v>
      </c>
      <c r="J75" s="5" t="s">
        <v>25</v>
      </c>
    </row>
    <row r="76" spans="1:10" ht="12.75" x14ac:dyDescent="0.2">
      <c r="A76" s="5" t="s">
        <v>27</v>
      </c>
      <c r="B76" s="5">
        <v>2024</v>
      </c>
      <c r="C76" s="5">
        <v>417.18875000000003</v>
      </c>
      <c r="D76" s="5">
        <v>309.9975</v>
      </c>
      <c r="E76" s="5">
        <v>55.47</v>
      </c>
      <c r="F76" s="5">
        <v>18.356249999999999</v>
      </c>
      <c r="G76" s="5">
        <v>23.858750000000001</v>
      </c>
      <c r="H76" s="5">
        <v>1354.0525</v>
      </c>
      <c r="I76" s="5">
        <v>2.8725000000000001</v>
      </c>
      <c r="J76" s="5" t="s">
        <v>25</v>
      </c>
    </row>
    <row r="77" spans="1:10" ht="12.75" x14ac:dyDescent="0.2">
      <c r="A77" s="5" t="s">
        <v>29</v>
      </c>
      <c r="B77" s="5">
        <v>2000</v>
      </c>
      <c r="C77" s="5">
        <v>382.51461540000003</v>
      </c>
      <c r="D77" s="5">
        <v>236.62</v>
      </c>
      <c r="E77" s="5">
        <v>51.286153849999998</v>
      </c>
      <c r="F77" s="5">
        <v>21.674615379999999</v>
      </c>
      <c r="G77" s="5">
        <v>26.309230769999999</v>
      </c>
      <c r="H77" s="5">
        <v>1423.0984619999999</v>
      </c>
      <c r="I77" s="5">
        <v>2.2738461540000001</v>
      </c>
      <c r="J77" s="5" t="s">
        <v>16</v>
      </c>
    </row>
    <row r="78" spans="1:10" ht="12.75" x14ac:dyDescent="0.2">
      <c r="A78" s="5" t="s">
        <v>29</v>
      </c>
      <c r="B78" s="5">
        <v>2001</v>
      </c>
      <c r="C78" s="5">
        <v>336.83111109999999</v>
      </c>
      <c r="D78" s="5">
        <v>360.40111109999998</v>
      </c>
      <c r="E78" s="5">
        <v>49.65888889</v>
      </c>
      <c r="F78" s="5">
        <v>29.447777779999999</v>
      </c>
      <c r="G78" s="5">
        <v>24.853333330000002</v>
      </c>
      <c r="H78" s="5">
        <v>1244.823333</v>
      </c>
      <c r="I78" s="5">
        <v>2.1344444440000001</v>
      </c>
      <c r="J78" s="5" t="s">
        <v>25</v>
      </c>
    </row>
    <row r="79" spans="1:10" ht="12.75" x14ac:dyDescent="0.2">
      <c r="A79" s="5" t="s">
        <v>29</v>
      </c>
      <c r="B79" s="5">
        <v>2002</v>
      </c>
      <c r="C79" s="5">
        <v>523.43399999999997</v>
      </c>
      <c r="D79" s="5">
        <v>315.01</v>
      </c>
      <c r="E79" s="5">
        <v>56.213999999999999</v>
      </c>
      <c r="F79" s="5">
        <v>27.199000000000002</v>
      </c>
      <c r="G79" s="5">
        <v>24.177</v>
      </c>
      <c r="H79" s="5">
        <v>1902.6769999999999</v>
      </c>
      <c r="I79" s="5">
        <v>3.3980000000000001</v>
      </c>
      <c r="J79" s="5" t="s">
        <v>25</v>
      </c>
    </row>
    <row r="80" spans="1:10" ht="12.75" x14ac:dyDescent="0.2">
      <c r="A80" s="5" t="s">
        <v>29</v>
      </c>
      <c r="B80" s="5">
        <v>2003</v>
      </c>
      <c r="C80" s="5">
        <v>346.32428570000002</v>
      </c>
      <c r="D80" s="5">
        <v>196.96</v>
      </c>
      <c r="E80" s="5">
        <v>49.388571429999999</v>
      </c>
      <c r="F80" s="5">
        <v>34.522857139999999</v>
      </c>
      <c r="G80" s="5">
        <v>27.114285710000001</v>
      </c>
      <c r="H80" s="5">
        <v>1343.8528570000001</v>
      </c>
      <c r="I80" s="5">
        <v>2.9885714289999998</v>
      </c>
      <c r="J80" s="5" t="s">
        <v>28</v>
      </c>
    </row>
    <row r="81" spans="1:10" ht="12.75" x14ac:dyDescent="0.2">
      <c r="A81" s="5" t="s">
        <v>29</v>
      </c>
      <c r="B81" s="5">
        <v>2004</v>
      </c>
      <c r="C81" s="5">
        <v>397.04500000000002</v>
      </c>
      <c r="D81" s="5">
        <v>363.61200000000002</v>
      </c>
      <c r="E81" s="5">
        <v>50.918999999999997</v>
      </c>
      <c r="F81" s="5">
        <v>35.19</v>
      </c>
      <c r="G81" s="5">
        <v>20.716999999999999</v>
      </c>
      <c r="H81" s="5">
        <v>1820.441</v>
      </c>
      <c r="I81" s="5">
        <v>2.4590000000000001</v>
      </c>
      <c r="J81" s="5" t="s">
        <v>25</v>
      </c>
    </row>
    <row r="82" spans="1:10" ht="12.75" x14ac:dyDescent="0.2">
      <c r="A82" s="5" t="s">
        <v>29</v>
      </c>
      <c r="B82" s="5">
        <v>2005</v>
      </c>
      <c r="C82" s="5">
        <v>511.83199999999999</v>
      </c>
      <c r="D82" s="5">
        <v>223.71199999999999</v>
      </c>
      <c r="E82" s="5">
        <v>46.746000000000002</v>
      </c>
      <c r="F82" s="5">
        <v>29.47</v>
      </c>
      <c r="G82" s="5">
        <v>21.277999999999999</v>
      </c>
      <c r="H82" s="5">
        <v>1606.15</v>
      </c>
      <c r="I82" s="5">
        <v>3.9279999999999999</v>
      </c>
      <c r="J82" s="5" t="s">
        <v>16</v>
      </c>
    </row>
    <row r="83" spans="1:10" ht="12.75" x14ac:dyDescent="0.2">
      <c r="A83" s="5" t="s">
        <v>29</v>
      </c>
      <c r="B83" s="5">
        <v>2006</v>
      </c>
      <c r="C83" s="5">
        <v>748.42333329999997</v>
      </c>
      <c r="D83" s="5">
        <v>319.71666670000002</v>
      </c>
      <c r="E83" s="5">
        <v>55.503333329999997</v>
      </c>
      <c r="F83" s="5">
        <v>43.583333330000002</v>
      </c>
      <c r="G83" s="5">
        <v>21.826666670000002</v>
      </c>
      <c r="H83" s="5">
        <v>1202.826667</v>
      </c>
      <c r="I83" s="5">
        <v>2.54</v>
      </c>
      <c r="J83" s="5" t="s">
        <v>25</v>
      </c>
    </row>
    <row r="84" spans="1:10" ht="12.75" x14ac:dyDescent="0.2">
      <c r="A84" s="5" t="s">
        <v>29</v>
      </c>
      <c r="B84" s="5">
        <v>2007</v>
      </c>
      <c r="C84" s="5">
        <v>572.60666670000001</v>
      </c>
      <c r="D84" s="5">
        <v>270.12777779999999</v>
      </c>
      <c r="E84" s="5">
        <v>49.506666670000001</v>
      </c>
      <c r="F84" s="5">
        <v>28.005555560000001</v>
      </c>
      <c r="G84" s="5">
        <v>23.99555556</v>
      </c>
      <c r="H84" s="5">
        <v>1688.9844439999999</v>
      </c>
      <c r="I84" s="5">
        <v>1.99</v>
      </c>
      <c r="J84" s="5" t="s">
        <v>16</v>
      </c>
    </row>
    <row r="85" spans="1:10" ht="12.75" x14ac:dyDescent="0.2">
      <c r="A85" s="5" t="s">
        <v>29</v>
      </c>
      <c r="B85" s="5">
        <v>2008</v>
      </c>
      <c r="C85" s="5">
        <v>522.77428569999995</v>
      </c>
      <c r="D85" s="5">
        <v>236.3428571</v>
      </c>
      <c r="E85" s="5">
        <v>42.838571430000002</v>
      </c>
      <c r="F85" s="5">
        <v>30.792857139999999</v>
      </c>
      <c r="G85" s="5">
        <v>21.55285714</v>
      </c>
      <c r="H85" s="5">
        <v>1010.11</v>
      </c>
      <c r="I85" s="5">
        <v>3.74</v>
      </c>
      <c r="J85" s="5" t="s">
        <v>16</v>
      </c>
    </row>
    <row r="86" spans="1:10" ht="12.75" x14ac:dyDescent="0.2">
      <c r="A86" s="5" t="s">
        <v>29</v>
      </c>
      <c r="B86" s="5">
        <v>2009</v>
      </c>
      <c r="C86" s="5">
        <v>361.42714289999998</v>
      </c>
      <c r="D86" s="5">
        <v>220.7835714</v>
      </c>
      <c r="E86" s="5">
        <v>45.11</v>
      </c>
      <c r="F86" s="5">
        <v>27.536428570000002</v>
      </c>
      <c r="G86" s="5">
        <v>25.856428569999999</v>
      </c>
      <c r="H86" s="5">
        <v>1851.837143</v>
      </c>
      <c r="I86" s="5">
        <v>2.9935714290000002</v>
      </c>
      <c r="J86" s="5" t="s">
        <v>16</v>
      </c>
    </row>
    <row r="87" spans="1:10" ht="12.75" x14ac:dyDescent="0.2">
      <c r="A87" s="5" t="s">
        <v>29</v>
      </c>
      <c r="B87" s="5">
        <v>2010</v>
      </c>
      <c r="C87" s="5">
        <v>532.35</v>
      </c>
      <c r="D87" s="5">
        <v>218.36875000000001</v>
      </c>
      <c r="E87" s="5">
        <v>54.685000000000002</v>
      </c>
      <c r="F87" s="5">
        <v>31.305</v>
      </c>
      <c r="G87" s="5">
        <v>26.127500000000001</v>
      </c>
      <c r="H87" s="5">
        <v>1776.9412500000001</v>
      </c>
      <c r="I87" s="5">
        <v>3.1825000000000001</v>
      </c>
      <c r="J87" s="5" t="s">
        <v>16</v>
      </c>
    </row>
    <row r="88" spans="1:10" ht="12.75" x14ac:dyDescent="0.2">
      <c r="A88" s="5" t="s">
        <v>29</v>
      </c>
      <c r="B88" s="5">
        <v>2011</v>
      </c>
      <c r="C88" s="5">
        <v>538.93133330000001</v>
      </c>
      <c r="D88" s="5">
        <v>333.43266670000003</v>
      </c>
      <c r="E88" s="5">
        <v>57.003333329999997</v>
      </c>
      <c r="F88" s="5">
        <v>25.74</v>
      </c>
      <c r="G88" s="5">
        <v>25.190666669999999</v>
      </c>
      <c r="H88" s="5">
        <v>1949.646667</v>
      </c>
      <c r="I88" s="5">
        <v>2.6313333330000002</v>
      </c>
      <c r="J88" s="5" t="s">
        <v>25</v>
      </c>
    </row>
    <row r="89" spans="1:10" ht="12.75" x14ac:dyDescent="0.2">
      <c r="A89" s="5" t="s">
        <v>29</v>
      </c>
      <c r="B89" s="5">
        <v>2012</v>
      </c>
      <c r="C89" s="5">
        <v>478.68374999999997</v>
      </c>
      <c r="D89" s="5">
        <v>264.65375</v>
      </c>
      <c r="E89" s="5">
        <v>47.172499999999999</v>
      </c>
      <c r="F89" s="5">
        <v>30.057500000000001</v>
      </c>
      <c r="G89" s="5">
        <v>24.465</v>
      </c>
      <c r="H89" s="5">
        <v>1403.4862499999999</v>
      </c>
      <c r="I89" s="5">
        <v>2.9762499999999998</v>
      </c>
      <c r="J89" s="5" t="s">
        <v>16</v>
      </c>
    </row>
    <row r="90" spans="1:10" ht="12.75" x14ac:dyDescent="0.2">
      <c r="A90" s="5" t="s">
        <v>29</v>
      </c>
      <c r="B90" s="5">
        <v>2013</v>
      </c>
      <c r="C90" s="5">
        <v>460.666</v>
      </c>
      <c r="D90" s="5">
        <v>140.28800000000001</v>
      </c>
      <c r="E90" s="5">
        <v>49.073999999999998</v>
      </c>
      <c r="F90" s="5">
        <v>38.573999999999998</v>
      </c>
      <c r="G90" s="5">
        <v>26.216000000000001</v>
      </c>
      <c r="H90" s="5">
        <v>1733.8320000000001</v>
      </c>
      <c r="I90" s="5">
        <v>2.532</v>
      </c>
      <c r="J90" s="5" t="s">
        <v>28</v>
      </c>
    </row>
    <row r="91" spans="1:10" ht="12.75" x14ac:dyDescent="0.2">
      <c r="A91" s="5" t="s">
        <v>29</v>
      </c>
      <c r="B91" s="5">
        <v>2014</v>
      </c>
      <c r="C91" s="5">
        <v>563.88909090000004</v>
      </c>
      <c r="D91" s="5">
        <v>192.1927273</v>
      </c>
      <c r="E91" s="5">
        <v>42.297272730000003</v>
      </c>
      <c r="F91" s="5">
        <v>28.483636359999998</v>
      </c>
      <c r="G91" s="5">
        <v>23.934545450000002</v>
      </c>
      <c r="H91" s="5">
        <v>1622.126364</v>
      </c>
      <c r="I91" s="5">
        <v>3.2254545449999998</v>
      </c>
      <c r="J91" s="5" t="s">
        <v>28</v>
      </c>
    </row>
    <row r="92" spans="1:10" ht="12.75" x14ac:dyDescent="0.2">
      <c r="A92" s="5" t="s">
        <v>29</v>
      </c>
      <c r="B92" s="5">
        <v>2015</v>
      </c>
      <c r="C92" s="5">
        <v>367.23200000000003</v>
      </c>
      <c r="D92" s="5">
        <v>318.07799999999997</v>
      </c>
      <c r="E92" s="5">
        <v>46.973999999999997</v>
      </c>
      <c r="F92" s="5">
        <v>27.834</v>
      </c>
      <c r="G92" s="5">
        <v>32.21</v>
      </c>
      <c r="H92" s="5">
        <v>1586.67</v>
      </c>
      <c r="I92" s="5">
        <v>4.1139999999999999</v>
      </c>
      <c r="J92" s="5" t="s">
        <v>25</v>
      </c>
    </row>
    <row r="93" spans="1:10" ht="12.75" x14ac:dyDescent="0.2">
      <c r="A93" s="5" t="s">
        <v>29</v>
      </c>
      <c r="B93" s="5">
        <v>2016</v>
      </c>
      <c r="C93" s="5">
        <v>568.36210530000005</v>
      </c>
      <c r="D93" s="5">
        <v>255.06473679999999</v>
      </c>
      <c r="E93" s="5">
        <v>46.922631580000001</v>
      </c>
      <c r="F93" s="5">
        <v>23.71736842</v>
      </c>
      <c r="G93" s="5">
        <v>24.36210526</v>
      </c>
      <c r="H93" s="5">
        <v>1488.1415790000001</v>
      </c>
      <c r="I93" s="5">
        <v>2.4968421049999998</v>
      </c>
      <c r="J93" s="5" t="s">
        <v>16</v>
      </c>
    </row>
    <row r="94" spans="1:10" ht="12.75" x14ac:dyDescent="0.2">
      <c r="A94" s="5" t="s">
        <v>29</v>
      </c>
      <c r="B94" s="5">
        <v>2017</v>
      </c>
      <c r="C94" s="5">
        <v>386.13666669999998</v>
      </c>
      <c r="D94" s="5">
        <v>181.94333330000001</v>
      </c>
      <c r="E94" s="5">
        <v>52.954999999999998</v>
      </c>
      <c r="F94" s="5">
        <v>34.026666669999997</v>
      </c>
      <c r="G94" s="5">
        <v>27.52</v>
      </c>
      <c r="H94" s="5">
        <v>2060.4516669999998</v>
      </c>
      <c r="I94" s="5">
        <v>2.68</v>
      </c>
      <c r="J94" s="5" t="s">
        <v>28</v>
      </c>
    </row>
    <row r="95" spans="1:10" ht="12.75" x14ac:dyDescent="0.2">
      <c r="A95" s="5" t="s">
        <v>29</v>
      </c>
      <c r="B95" s="5">
        <v>2018</v>
      </c>
      <c r="C95" s="5">
        <v>563.83642859999998</v>
      </c>
      <c r="D95" s="5">
        <v>301.88142859999999</v>
      </c>
      <c r="E95" s="5">
        <v>50.548571430000003</v>
      </c>
      <c r="F95" s="5">
        <v>27.852142860000001</v>
      </c>
      <c r="G95" s="5">
        <v>23.120714289999999</v>
      </c>
      <c r="H95" s="5">
        <v>1431.243571</v>
      </c>
      <c r="I95" s="5">
        <v>2.6535714289999999</v>
      </c>
      <c r="J95" s="5" t="s">
        <v>25</v>
      </c>
    </row>
    <row r="96" spans="1:10" ht="12.75" x14ac:dyDescent="0.2">
      <c r="A96" s="5" t="s">
        <v>29</v>
      </c>
      <c r="B96" s="5">
        <v>2019</v>
      </c>
      <c r="C96" s="5">
        <v>545.61428569999998</v>
      </c>
      <c r="D96" s="5">
        <v>330.01428570000002</v>
      </c>
      <c r="E96" s="5">
        <v>55.507142860000002</v>
      </c>
      <c r="F96" s="5">
        <v>26.14</v>
      </c>
      <c r="G96" s="5">
        <v>22.364285710000001</v>
      </c>
      <c r="H96" s="5">
        <v>1200.763571</v>
      </c>
      <c r="I96" s="5">
        <v>3.0021428569999999</v>
      </c>
      <c r="J96" s="5" t="s">
        <v>25</v>
      </c>
    </row>
    <row r="97" spans="1:10" ht="12.75" x14ac:dyDescent="0.2">
      <c r="A97" s="5" t="s">
        <v>29</v>
      </c>
      <c r="B97" s="5">
        <v>2020</v>
      </c>
      <c r="C97" s="5">
        <v>445.13636359999998</v>
      </c>
      <c r="D97" s="5">
        <v>315.77363639999999</v>
      </c>
      <c r="E97" s="5">
        <v>46.306363640000001</v>
      </c>
      <c r="F97" s="5">
        <v>27.50545455</v>
      </c>
      <c r="G97" s="5">
        <v>25.50727273</v>
      </c>
      <c r="H97" s="5">
        <v>1165.987273</v>
      </c>
      <c r="I97" s="5">
        <v>2.3763636359999998</v>
      </c>
      <c r="J97" s="5" t="s">
        <v>25</v>
      </c>
    </row>
    <row r="98" spans="1:10" ht="12.75" x14ac:dyDescent="0.2">
      <c r="A98" s="5" t="s">
        <v>29</v>
      </c>
      <c r="B98" s="5">
        <v>2021</v>
      </c>
      <c r="C98" s="5">
        <v>597.27846150000005</v>
      </c>
      <c r="D98" s="5">
        <v>277.49076919999999</v>
      </c>
      <c r="E98" s="5">
        <v>51.017692310000001</v>
      </c>
      <c r="F98" s="5">
        <v>29.445384619999999</v>
      </c>
      <c r="G98" s="5">
        <v>26.06384615</v>
      </c>
      <c r="H98" s="5">
        <v>1350.2861539999999</v>
      </c>
      <c r="I98" s="5">
        <v>2.098461538</v>
      </c>
      <c r="J98" s="5" t="s">
        <v>16</v>
      </c>
    </row>
    <row r="99" spans="1:10" ht="12.75" x14ac:dyDescent="0.2">
      <c r="A99" s="5" t="s">
        <v>29</v>
      </c>
      <c r="B99" s="5">
        <v>2022</v>
      </c>
      <c r="C99" s="5">
        <v>470.68</v>
      </c>
      <c r="D99" s="5">
        <v>260.40333329999999</v>
      </c>
      <c r="E99" s="5">
        <v>53.52111111</v>
      </c>
      <c r="F99" s="5">
        <v>28.25</v>
      </c>
      <c r="G99" s="5">
        <v>22.12</v>
      </c>
      <c r="H99" s="5">
        <v>1277.8611109999999</v>
      </c>
      <c r="I99" s="5">
        <v>2.6411111109999998</v>
      </c>
      <c r="J99" s="5" t="s">
        <v>16</v>
      </c>
    </row>
    <row r="100" spans="1:10" ht="12.75" x14ac:dyDescent="0.2">
      <c r="A100" s="5" t="s">
        <v>29</v>
      </c>
      <c r="B100" s="5">
        <v>2023</v>
      </c>
      <c r="C100" s="5">
        <v>653.70888890000003</v>
      </c>
      <c r="D100" s="5">
        <v>333.38888889999998</v>
      </c>
      <c r="E100" s="5">
        <v>50</v>
      </c>
      <c r="F100" s="5">
        <v>23.553333330000001</v>
      </c>
      <c r="G100" s="5">
        <v>26.952222219999999</v>
      </c>
      <c r="H100" s="5">
        <v>1161.6099999999999</v>
      </c>
      <c r="I100" s="5">
        <v>2.7855555559999998</v>
      </c>
      <c r="J100" s="5" t="s">
        <v>25</v>
      </c>
    </row>
    <row r="101" spans="1:10" ht="12.75" x14ac:dyDescent="0.2">
      <c r="A101" s="5" t="s">
        <v>29</v>
      </c>
      <c r="B101" s="5">
        <v>2024</v>
      </c>
      <c r="C101" s="5">
        <v>476.97687500000001</v>
      </c>
      <c r="D101" s="5">
        <v>216.31125</v>
      </c>
      <c r="E101" s="5">
        <v>57.044375000000002</v>
      </c>
      <c r="F101" s="5">
        <v>26.726875</v>
      </c>
      <c r="G101" s="5">
        <v>26.4175</v>
      </c>
      <c r="H101" s="5">
        <v>1312.9393749999999</v>
      </c>
      <c r="I101" s="5">
        <v>3</v>
      </c>
      <c r="J101" s="5" t="s">
        <v>16</v>
      </c>
    </row>
    <row r="102" spans="1:10" ht="12.75" x14ac:dyDescent="0.2">
      <c r="A102" s="5" t="s">
        <v>30</v>
      </c>
      <c r="B102" s="5">
        <v>2000</v>
      </c>
      <c r="C102" s="5">
        <v>681.02833329999999</v>
      </c>
      <c r="D102" s="5">
        <v>304.21499999999997</v>
      </c>
      <c r="E102" s="5">
        <v>59.854999999999997</v>
      </c>
      <c r="F102" s="5">
        <v>29.28833333</v>
      </c>
      <c r="G102" s="5">
        <v>31.201666670000002</v>
      </c>
      <c r="H102" s="5">
        <v>1162.198333</v>
      </c>
      <c r="I102" s="5">
        <v>2.95</v>
      </c>
      <c r="J102" s="5" t="s">
        <v>25</v>
      </c>
    </row>
    <row r="103" spans="1:10" ht="12.75" x14ac:dyDescent="0.2">
      <c r="A103" s="5" t="s">
        <v>30</v>
      </c>
      <c r="B103" s="5">
        <v>2001</v>
      </c>
      <c r="C103" s="5">
        <v>611.80999999999995</v>
      </c>
      <c r="D103" s="5">
        <v>338.03125</v>
      </c>
      <c r="E103" s="5">
        <v>49.53</v>
      </c>
      <c r="F103" s="5">
        <v>27.508749999999999</v>
      </c>
      <c r="G103" s="5">
        <v>24.217500000000001</v>
      </c>
      <c r="H103" s="5">
        <v>2039.9124999999999</v>
      </c>
      <c r="I103" s="5">
        <v>2.9437500000000001</v>
      </c>
      <c r="J103" s="5" t="s">
        <v>25</v>
      </c>
    </row>
    <row r="104" spans="1:10" ht="12.75" x14ac:dyDescent="0.2">
      <c r="A104" s="5" t="s">
        <v>30</v>
      </c>
      <c r="B104" s="5">
        <v>2002</v>
      </c>
      <c r="C104" s="5">
        <v>440.7053846</v>
      </c>
      <c r="D104" s="5">
        <v>236.36615380000001</v>
      </c>
      <c r="E104" s="5">
        <v>48.579230770000002</v>
      </c>
      <c r="F104" s="5">
        <v>30.26307692</v>
      </c>
      <c r="G104" s="5">
        <v>26.956923079999999</v>
      </c>
      <c r="H104" s="5">
        <v>1538.9546150000001</v>
      </c>
      <c r="I104" s="5">
        <v>2.8776923079999999</v>
      </c>
      <c r="J104" s="5" t="s">
        <v>16</v>
      </c>
    </row>
    <row r="105" spans="1:10" ht="12.75" x14ac:dyDescent="0.2">
      <c r="A105" s="5" t="s">
        <v>30</v>
      </c>
      <c r="B105" s="5">
        <v>2003</v>
      </c>
      <c r="C105" s="5">
        <v>560.21749999999997</v>
      </c>
      <c r="D105" s="5">
        <v>254.99</v>
      </c>
      <c r="E105" s="5">
        <v>47.543750000000003</v>
      </c>
      <c r="F105" s="5">
        <v>30.157499999999999</v>
      </c>
      <c r="G105" s="5">
        <v>21.234999999999999</v>
      </c>
      <c r="H105" s="5">
        <v>1030.6175000000001</v>
      </c>
      <c r="I105" s="5">
        <v>2.7687499999999998</v>
      </c>
      <c r="J105" s="5" t="s">
        <v>16</v>
      </c>
    </row>
    <row r="106" spans="1:10" ht="12.75" x14ac:dyDescent="0.2">
      <c r="A106" s="5" t="s">
        <v>30</v>
      </c>
      <c r="B106" s="5">
        <v>2004</v>
      </c>
      <c r="C106" s="5">
        <v>798.41800000000001</v>
      </c>
      <c r="D106" s="5">
        <v>332.61599999999999</v>
      </c>
      <c r="E106" s="5">
        <v>49.508000000000003</v>
      </c>
      <c r="F106" s="5">
        <v>32.036000000000001</v>
      </c>
      <c r="G106" s="5">
        <v>26.33</v>
      </c>
      <c r="H106" s="5">
        <v>1494.778</v>
      </c>
      <c r="I106" s="5">
        <v>2.802</v>
      </c>
      <c r="J106" s="5" t="s">
        <v>25</v>
      </c>
    </row>
    <row r="107" spans="1:10" ht="12.75" x14ac:dyDescent="0.2">
      <c r="A107" s="5" t="s">
        <v>30</v>
      </c>
      <c r="B107" s="5">
        <v>2005</v>
      </c>
      <c r="C107" s="5">
        <v>561.71076919999996</v>
      </c>
      <c r="D107" s="5">
        <v>269.98923079999997</v>
      </c>
      <c r="E107" s="5">
        <v>60.505384620000001</v>
      </c>
      <c r="F107" s="5">
        <v>31.586153849999999</v>
      </c>
      <c r="G107" s="5">
        <v>24.893076919999999</v>
      </c>
      <c r="H107" s="5">
        <v>1564.781538</v>
      </c>
      <c r="I107" s="5">
        <v>2.1653846149999998</v>
      </c>
      <c r="J107" s="5" t="s">
        <v>16</v>
      </c>
    </row>
    <row r="108" spans="1:10" ht="12.75" x14ac:dyDescent="0.2">
      <c r="A108" s="5" t="s">
        <v>30</v>
      </c>
      <c r="B108" s="5">
        <v>2006</v>
      </c>
      <c r="C108" s="5">
        <v>455.55454550000002</v>
      </c>
      <c r="D108" s="5">
        <v>296.59454549999998</v>
      </c>
      <c r="E108" s="5">
        <v>45.900909089999999</v>
      </c>
      <c r="F108" s="5">
        <v>23.29</v>
      </c>
      <c r="G108" s="5">
        <v>27.984545449999999</v>
      </c>
      <c r="H108" s="5">
        <v>1801.8881819999999</v>
      </c>
      <c r="I108" s="5">
        <v>2.9772727269999999</v>
      </c>
      <c r="J108" s="5" t="s">
        <v>16</v>
      </c>
    </row>
    <row r="109" spans="1:10" ht="12.75" x14ac:dyDescent="0.2">
      <c r="A109" s="5" t="s">
        <v>30</v>
      </c>
      <c r="B109" s="5">
        <v>2007</v>
      </c>
      <c r="C109" s="5">
        <v>462.5009091</v>
      </c>
      <c r="D109" s="5">
        <v>266.9436364</v>
      </c>
      <c r="E109" s="5">
        <v>56.330909089999999</v>
      </c>
      <c r="F109" s="5">
        <v>23.106363640000001</v>
      </c>
      <c r="G109" s="5">
        <v>27.836363639999998</v>
      </c>
      <c r="H109" s="5">
        <v>1444.1763639999999</v>
      </c>
      <c r="I109" s="5">
        <v>3.0336363639999999</v>
      </c>
      <c r="J109" s="5" t="s">
        <v>16</v>
      </c>
    </row>
    <row r="110" spans="1:10" ht="12.75" x14ac:dyDescent="0.2">
      <c r="A110" s="5" t="s">
        <v>30</v>
      </c>
      <c r="B110" s="5">
        <v>2008</v>
      </c>
      <c r="C110" s="5">
        <v>558.49454549999996</v>
      </c>
      <c r="D110" s="5">
        <v>299.82909089999998</v>
      </c>
      <c r="E110" s="5">
        <v>47.244545449999997</v>
      </c>
      <c r="F110" s="5">
        <v>24.148181820000001</v>
      </c>
      <c r="G110" s="5">
        <v>21.31909091</v>
      </c>
      <c r="H110" s="5">
        <v>1226.4509089999999</v>
      </c>
      <c r="I110" s="5">
        <v>3.6981818180000001</v>
      </c>
      <c r="J110" s="5" t="s">
        <v>16</v>
      </c>
    </row>
    <row r="111" spans="1:10" ht="12.75" x14ac:dyDescent="0.2">
      <c r="A111" s="5" t="s">
        <v>30</v>
      </c>
      <c r="B111" s="5">
        <v>2009</v>
      </c>
      <c r="C111" s="5">
        <v>383.67857140000001</v>
      </c>
      <c r="D111" s="5">
        <v>247.7771429</v>
      </c>
      <c r="E111" s="5">
        <v>56.414285710000001</v>
      </c>
      <c r="F111" s="5">
        <v>27.73285714</v>
      </c>
      <c r="G111" s="5">
        <v>23.788571430000001</v>
      </c>
      <c r="H111" s="5">
        <v>1109.0328569999999</v>
      </c>
      <c r="I111" s="5">
        <v>3.081428571</v>
      </c>
      <c r="J111" s="5" t="s">
        <v>16</v>
      </c>
    </row>
    <row r="112" spans="1:10" ht="12.75" x14ac:dyDescent="0.2">
      <c r="A112" s="5" t="s">
        <v>30</v>
      </c>
      <c r="B112" s="5">
        <v>2010</v>
      </c>
      <c r="C112" s="5">
        <v>557.65333329999999</v>
      </c>
      <c r="D112" s="5">
        <v>252.5793333</v>
      </c>
      <c r="E112" s="5">
        <v>54.531999999999996</v>
      </c>
      <c r="F112" s="5">
        <v>30.601333329999999</v>
      </c>
      <c r="G112" s="5">
        <v>26.175333330000001</v>
      </c>
      <c r="H112" s="5">
        <v>1626.742667</v>
      </c>
      <c r="I112" s="5">
        <v>1.5413333330000001</v>
      </c>
      <c r="J112" s="5" t="s">
        <v>16</v>
      </c>
    </row>
    <row r="113" spans="1:10" ht="12.75" x14ac:dyDescent="0.2">
      <c r="A113" s="5" t="s">
        <v>30</v>
      </c>
      <c r="B113" s="5">
        <v>2011</v>
      </c>
      <c r="C113" s="5">
        <v>578.89</v>
      </c>
      <c r="D113" s="5">
        <v>262.36500000000001</v>
      </c>
      <c r="E113" s="5">
        <v>58.844999999999999</v>
      </c>
      <c r="F113" s="5">
        <v>30.852499999999999</v>
      </c>
      <c r="G113" s="5">
        <v>28.305</v>
      </c>
      <c r="H113" s="5">
        <v>1197.7874999999999</v>
      </c>
      <c r="I113" s="5">
        <v>2.2475000000000001</v>
      </c>
      <c r="J113" s="5" t="s">
        <v>16</v>
      </c>
    </row>
    <row r="114" spans="1:10" ht="12.75" x14ac:dyDescent="0.2">
      <c r="A114" s="5" t="s">
        <v>30</v>
      </c>
      <c r="B114" s="5">
        <v>2012</v>
      </c>
      <c r="C114" s="5">
        <v>542.62300000000005</v>
      </c>
      <c r="D114" s="5">
        <v>299.20600000000002</v>
      </c>
      <c r="E114" s="5">
        <v>48.454000000000001</v>
      </c>
      <c r="F114" s="5">
        <v>27.471</v>
      </c>
      <c r="G114" s="5">
        <v>19.248999999999999</v>
      </c>
      <c r="H114" s="5">
        <v>1929.2260000000001</v>
      </c>
      <c r="I114" s="5">
        <v>2.306</v>
      </c>
      <c r="J114" s="5" t="s">
        <v>16</v>
      </c>
    </row>
    <row r="115" spans="1:10" ht="12.75" x14ac:dyDescent="0.2">
      <c r="A115" s="5" t="s">
        <v>30</v>
      </c>
      <c r="B115" s="5">
        <v>2013</v>
      </c>
      <c r="C115" s="5">
        <v>543.57000000000005</v>
      </c>
      <c r="D115" s="5">
        <v>261.19142859999999</v>
      </c>
      <c r="E115" s="5">
        <v>53.804285710000002</v>
      </c>
      <c r="F115" s="5">
        <v>25.29</v>
      </c>
      <c r="G115" s="5">
        <v>24.468571430000001</v>
      </c>
      <c r="H115" s="5">
        <v>1088.364286</v>
      </c>
      <c r="I115" s="5">
        <v>1.625714286</v>
      </c>
      <c r="J115" s="5" t="s">
        <v>16</v>
      </c>
    </row>
    <row r="116" spans="1:10" ht="12.75" x14ac:dyDescent="0.2">
      <c r="A116" s="5" t="s">
        <v>30</v>
      </c>
      <c r="B116" s="5">
        <v>2014</v>
      </c>
      <c r="C116" s="5">
        <v>624.31555560000004</v>
      </c>
      <c r="D116" s="5">
        <v>288.23222220000002</v>
      </c>
      <c r="E116" s="5">
        <v>55.653333330000002</v>
      </c>
      <c r="F116" s="5">
        <v>28.84222222</v>
      </c>
      <c r="G116" s="5">
        <v>26.511111110000002</v>
      </c>
      <c r="H116" s="5">
        <v>1302.8477780000001</v>
      </c>
      <c r="I116" s="5">
        <v>2.2833333329999999</v>
      </c>
      <c r="J116" s="5" t="s">
        <v>16</v>
      </c>
    </row>
    <row r="117" spans="1:10" ht="12.75" x14ac:dyDescent="0.2">
      <c r="A117" s="5" t="s">
        <v>30</v>
      </c>
      <c r="B117" s="5">
        <v>2015</v>
      </c>
      <c r="C117" s="5">
        <v>347.46777780000002</v>
      </c>
      <c r="D117" s="5">
        <v>182.43888889999999</v>
      </c>
      <c r="E117" s="5">
        <v>47.64</v>
      </c>
      <c r="F117" s="5">
        <v>26.651111109999999</v>
      </c>
      <c r="G117" s="5">
        <v>25.848888890000001</v>
      </c>
      <c r="H117" s="5">
        <v>1616.3888890000001</v>
      </c>
      <c r="I117" s="5">
        <v>3.2066666669999999</v>
      </c>
      <c r="J117" s="5" t="s">
        <v>28</v>
      </c>
    </row>
    <row r="118" spans="1:10" ht="12.75" x14ac:dyDescent="0.2">
      <c r="A118" s="5" t="s">
        <v>30</v>
      </c>
      <c r="B118" s="5">
        <v>2016</v>
      </c>
      <c r="C118" s="5">
        <v>524.20933330000003</v>
      </c>
      <c r="D118" s="5">
        <v>289.5946667</v>
      </c>
      <c r="E118" s="5">
        <v>51.647333330000002</v>
      </c>
      <c r="F118" s="5">
        <v>32.768000000000001</v>
      </c>
      <c r="G118" s="5">
        <v>28.114666669999998</v>
      </c>
      <c r="H118" s="5">
        <v>1755.5366670000001</v>
      </c>
      <c r="I118" s="5">
        <v>3.0659999999999998</v>
      </c>
      <c r="J118" s="5" t="s">
        <v>16</v>
      </c>
    </row>
    <row r="119" spans="1:10" ht="12.75" x14ac:dyDescent="0.2">
      <c r="A119" s="5" t="s">
        <v>30</v>
      </c>
      <c r="B119" s="5">
        <v>2017</v>
      </c>
      <c r="C119" s="5">
        <v>525.19285709999997</v>
      </c>
      <c r="D119" s="5">
        <v>299.98500000000001</v>
      </c>
      <c r="E119" s="5">
        <v>58.734285710000002</v>
      </c>
      <c r="F119" s="5">
        <v>30.683571430000001</v>
      </c>
      <c r="G119" s="5">
        <v>28.442142860000001</v>
      </c>
      <c r="H119" s="5">
        <v>2011.7107140000001</v>
      </c>
      <c r="I119" s="5">
        <v>2.1364285710000002</v>
      </c>
      <c r="J119" s="5" t="s">
        <v>16</v>
      </c>
    </row>
    <row r="120" spans="1:10" ht="12.75" x14ac:dyDescent="0.2">
      <c r="A120" s="5" t="s">
        <v>30</v>
      </c>
      <c r="B120" s="5">
        <v>2018</v>
      </c>
      <c r="C120" s="5">
        <v>510.15833329999998</v>
      </c>
      <c r="D120" s="5">
        <v>333.84249999999997</v>
      </c>
      <c r="E120" s="5">
        <v>54.652500000000003</v>
      </c>
      <c r="F120" s="5">
        <v>25.302499999999998</v>
      </c>
      <c r="G120" s="5">
        <v>25.255833330000002</v>
      </c>
      <c r="H120" s="5">
        <v>1725.075</v>
      </c>
      <c r="I120" s="5">
        <v>2.1758333329999999</v>
      </c>
      <c r="J120" s="5" t="s">
        <v>25</v>
      </c>
    </row>
    <row r="121" spans="1:10" ht="12.75" x14ac:dyDescent="0.2">
      <c r="A121" s="5" t="s">
        <v>30</v>
      </c>
      <c r="B121" s="5">
        <v>2019</v>
      </c>
      <c r="C121" s="5">
        <v>607.92222219999996</v>
      </c>
      <c r="D121" s="5">
        <v>291.74777779999999</v>
      </c>
      <c r="E121" s="5">
        <v>56.238888889999998</v>
      </c>
      <c r="F121" s="5">
        <v>26.22666667</v>
      </c>
      <c r="G121" s="5">
        <v>28.196666669999999</v>
      </c>
      <c r="H121" s="5">
        <v>1634.894444</v>
      </c>
      <c r="I121" s="5">
        <v>2.5499999999999998</v>
      </c>
      <c r="J121" s="5" t="s">
        <v>16</v>
      </c>
    </row>
    <row r="122" spans="1:10" ht="12.75" x14ac:dyDescent="0.2">
      <c r="A122" s="5" t="s">
        <v>30</v>
      </c>
      <c r="B122" s="5">
        <v>2020</v>
      </c>
      <c r="C122" s="5">
        <v>415.48142860000002</v>
      </c>
      <c r="D122" s="5">
        <v>246.52785710000001</v>
      </c>
      <c r="E122" s="5">
        <v>47.833571429999999</v>
      </c>
      <c r="F122" s="5">
        <v>28.225714289999999</v>
      </c>
      <c r="G122" s="5">
        <v>23.762142860000001</v>
      </c>
      <c r="H122" s="5">
        <v>1845.0614290000001</v>
      </c>
      <c r="I122" s="5">
        <v>2.253571429</v>
      </c>
      <c r="J122" s="5" t="s">
        <v>16</v>
      </c>
    </row>
    <row r="123" spans="1:10" ht="12.75" x14ac:dyDescent="0.2">
      <c r="A123" s="5" t="s">
        <v>30</v>
      </c>
      <c r="B123" s="5">
        <v>2021</v>
      </c>
      <c r="C123" s="5">
        <v>436.1333333</v>
      </c>
      <c r="D123" s="5">
        <v>261.13444440000001</v>
      </c>
      <c r="E123" s="5">
        <v>40.216666670000002</v>
      </c>
      <c r="F123" s="5">
        <v>25.81</v>
      </c>
      <c r="G123" s="5">
        <v>26.011111110000002</v>
      </c>
      <c r="H123" s="5">
        <v>1528.583333</v>
      </c>
      <c r="I123" s="5">
        <v>2.4822222219999999</v>
      </c>
      <c r="J123" s="5" t="s">
        <v>16</v>
      </c>
    </row>
    <row r="124" spans="1:10" ht="12.75" x14ac:dyDescent="0.2">
      <c r="A124" s="5" t="s">
        <v>30</v>
      </c>
      <c r="B124" s="5">
        <v>2022</v>
      </c>
      <c r="C124" s="5">
        <v>528.54700000000003</v>
      </c>
      <c r="D124" s="5">
        <v>273.90199999999999</v>
      </c>
      <c r="E124" s="5">
        <v>46.55</v>
      </c>
      <c r="F124" s="5">
        <v>26.053999999999998</v>
      </c>
      <c r="G124" s="5">
        <v>22.024000000000001</v>
      </c>
      <c r="H124" s="5">
        <v>1786.2070000000001</v>
      </c>
      <c r="I124" s="5">
        <v>2.0779999999999998</v>
      </c>
      <c r="J124" s="5" t="s">
        <v>16</v>
      </c>
    </row>
    <row r="125" spans="1:10" ht="12.75" x14ac:dyDescent="0.2">
      <c r="A125" s="5" t="s">
        <v>30</v>
      </c>
      <c r="B125" s="5">
        <v>2023</v>
      </c>
      <c r="C125" s="5">
        <v>369.98899999999998</v>
      </c>
      <c r="D125" s="5">
        <v>364.44499999999999</v>
      </c>
      <c r="E125" s="5">
        <v>45.533000000000001</v>
      </c>
      <c r="F125" s="5">
        <v>26.864000000000001</v>
      </c>
      <c r="G125" s="5">
        <v>23.03</v>
      </c>
      <c r="H125" s="5">
        <v>1682.6389999999999</v>
      </c>
      <c r="I125" s="5">
        <v>2.3610000000000002</v>
      </c>
      <c r="J125" s="5" t="s">
        <v>25</v>
      </c>
    </row>
    <row r="126" spans="1:10" ht="12.75" x14ac:dyDescent="0.2">
      <c r="A126" s="5" t="s">
        <v>30</v>
      </c>
      <c r="B126" s="5">
        <v>2024</v>
      </c>
      <c r="C126" s="5">
        <v>507.32499999999999</v>
      </c>
      <c r="D126" s="5">
        <v>253.1391667</v>
      </c>
      <c r="E126" s="5">
        <v>50.887500000000003</v>
      </c>
      <c r="F126" s="5">
        <v>25.61</v>
      </c>
      <c r="G126" s="5">
        <v>26.778333329999999</v>
      </c>
      <c r="H126" s="5">
        <v>1796.5058329999999</v>
      </c>
      <c r="I126" s="5">
        <v>2.5125000000000002</v>
      </c>
      <c r="J126" s="5" t="s">
        <v>16</v>
      </c>
    </row>
    <row r="127" spans="1:10" ht="12.75" x14ac:dyDescent="0.2">
      <c r="A127" s="5" t="s">
        <v>31</v>
      </c>
      <c r="B127" s="5">
        <v>2000</v>
      </c>
      <c r="C127" s="5">
        <v>488.93374999999997</v>
      </c>
      <c r="D127" s="5">
        <v>220.88249999999999</v>
      </c>
      <c r="E127" s="5">
        <v>56.371250000000003</v>
      </c>
      <c r="F127" s="5">
        <v>21.842500000000001</v>
      </c>
      <c r="G127" s="5">
        <v>25.03</v>
      </c>
      <c r="H127" s="5">
        <v>1408.97</v>
      </c>
      <c r="I127" s="5">
        <v>3.0187499999999998</v>
      </c>
      <c r="J127" s="5" t="s">
        <v>16</v>
      </c>
    </row>
    <row r="128" spans="1:10" ht="12.75" x14ac:dyDescent="0.2">
      <c r="A128" s="5" t="s">
        <v>31</v>
      </c>
      <c r="B128" s="5">
        <v>2001</v>
      </c>
      <c r="C128" s="5">
        <v>521.49833330000001</v>
      </c>
      <c r="D128" s="5">
        <v>265.45666670000003</v>
      </c>
      <c r="E128" s="5">
        <v>45.486666669999998</v>
      </c>
      <c r="F128" s="5">
        <v>24.46083333</v>
      </c>
      <c r="G128" s="5">
        <v>26.883333329999999</v>
      </c>
      <c r="H128" s="5">
        <v>1611.866667</v>
      </c>
      <c r="I128" s="5">
        <v>2.4308333329999998</v>
      </c>
      <c r="J128" s="5" t="s">
        <v>16</v>
      </c>
    </row>
    <row r="129" spans="1:10" ht="12.75" x14ac:dyDescent="0.2">
      <c r="A129" s="5" t="s">
        <v>31</v>
      </c>
      <c r="B129" s="5">
        <v>2002</v>
      </c>
      <c r="C129" s="5">
        <v>559.85888890000001</v>
      </c>
      <c r="D129" s="5">
        <v>271.68222220000001</v>
      </c>
      <c r="E129" s="5">
        <v>43.044444439999999</v>
      </c>
      <c r="F129" s="5">
        <v>29.07111111</v>
      </c>
      <c r="G129" s="5">
        <v>27.582222219999998</v>
      </c>
      <c r="H129" s="5">
        <v>1759.964444</v>
      </c>
      <c r="I129" s="5">
        <v>2.8988888890000002</v>
      </c>
      <c r="J129" s="5" t="s">
        <v>16</v>
      </c>
    </row>
    <row r="130" spans="1:10" ht="12.75" x14ac:dyDescent="0.2">
      <c r="A130" s="5" t="s">
        <v>31</v>
      </c>
      <c r="B130" s="5">
        <v>2003</v>
      </c>
      <c r="C130" s="5">
        <v>496.74571429999997</v>
      </c>
      <c r="D130" s="5">
        <v>355.38642859999999</v>
      </c>
      <c r="E130" s="5">
        <v>48.725000000000001</v>
      </c>
      <c r="F130" s="5">
        <v>27.327142859999999</v>
      </c>
      <c r="G130" s="5">
        <v>22.945</v>
      </c>
      <c r="H130" s="5">
        <v>1629.193571</v>
      </c>
      <c r="I130" s="5">
        <v>3.2</v>
      </c>
      <c r="J130" s="5" t="s">
        <v>25</v>
      </c>
    </row>
    <row r="131" spans="1:10" ht="12.75" x14ac:dyDescent="0.2">
      <c r="A131" s="5" t="s">
        <v>31</v>
      </c>
      <c r="B131" s="5">
        <v>2004</v>
      </c>
      <c r="C131" s="5">
        <v>639.91923080000004</v>
      </c>
      <c r="D131" s="5">
        <v>351.1707692</v>
      </c>
      <c r="E131" s="5">
        <v>48.55769231</v>
      </c>
      <c r="F131" s="5">
        <v>28.46</v>
      </c>
      <c r="G131" s="5">
        <v>24.10153846</v>
      </c>
      <c r="H131" s="5">
        <v>1543.357692</v>
      </c>
      <c r="I131" s="5">
        <v>1.962307692</v>
      </c>
      <c r="J131" s="5" t="s">
        <v>25</v>
      </c>
    </row>
    <row r="132" spans="1:10" ht="12.75" x14ac:dyDescent="0.2">
      <c r="A132" s="5" t="s">
        <v>31</v>
      </c>
      <c r="B132" s="5">
        <v>2005</v>
      </c>
      <c r="C132" s="5">
        <v>468.01799999999997</v>
      </c>
      <c r="D132" s="5">
        <v>277.34333329999998</v>
      </c>
      <c r="E132" s="5">
        <v>49.495333330000001</v>
      </c>
      <c r="F132" s="5">
        <v>21.511333329999999</v>
      </c>
      <c r="G132" s="5">
        <v>25.398</v>
      </c>
      <c r="H132" s="5">
        <v>1758.9946669999999</v>
      </c>
      <c r="I132" s="5">
        <v>2.709333333</v>
      </c>
      <c r="J132" s="5" t="s">
        <v>16</v>
      </c>
    </row>
    <row r="133" spans="1:10" ht="12.75" x14ac:dyDescent="0.2">
      <c r="A133" s="5" t="s">
        <v>31</v>
      </c>
      <c r="B133" s="5">
        <v>2006</v>
      </c>
      <c r="C133" s="5">
        <v>479.36399999999998</v>
      </c>
      <c r="D133" s="5">
        <v>279.85000000000002</v>
      </c>
      <c r="E133" s="5">
        <v>46.83</v>
      </c>
      <c r="F133" s="5">
        <v>25.544</v>
      </c>
      <c r="G133" s="5">
        <v>22.986000000000001</v>
      </c>
      <c r="H133" s="5">
        <v>1694.7360000000001</v>
      </c>
      <c r="I133" s="5">
        <v>2.2080000000000002</v>
      </c>
      <c r="J133" s="5" t="s">
        <v>16</v>
      </c>
    </row>
    <row r="134" spans="1:10" ht="12.75" x14ac:dyDescent="0.2">
      <c r="A134" s="5" t="s">
        <v>31</v>
      </c>
      <c r="B134" s="5">
        <v>2007</v>
      </c>
      <c r="C134" s="5">
        <v>444.34909090000002</v>
      </c>
      <c r="D134" s="5">
        <v>287.85090910000002</v>
      </c>
      <c r="E134" s="5">
        <v>44.73545455</v>
      </c>
      <c r="F134" s="5">
        <v>24.668181820000001</v>
      </c>
      <c r="G134" s="5">
        <v>22.425454550000001</v>
      </c>
      <c r="H134" s="5">
        <v>1251.4927270000001</v>
      </c>
      <c r="I134" s="5">
        <v>3.1490909089999999</v>
      </c>
      <c r="J134" s="5" t="s">
        <v>16</v>
      </c>
    </row>
    <row r="135" spans="1:10" ht="12.75" x14ac:dyDescent="0.2">
      <c r="A135" s="5" t="s">
        <v>31</v>
      </c>
      <c r="B135" s="5">
        <v>2008</v>
      </c>
      <c r="C135" s="5">
        <v>581.20500000000004</v>
      </c>
      <c r="D135" s="5">
        <v>319.28874999999999</v>
      </c>
      <c r="E135" s="5">
        <v>55.646250000000002</v>
      </c>
      <c r="F135" s="5">
        <v>24.892499999999998</v>
      </c>
      <c r="G135" s="5">
        <v>22.631250000000001</v>
      </c>
      <c r="H135" s="5">
        <v>1219.1912500000001</v>
      </c>
      <c r="I135" s="5">
        <v>3.58</v>
      </c>
      <c r="J135" s="5" t="s">
        <v>25</v>
      </c>
    </row>
    <row r="136" spans="1:10" ht="12.75" x14ac:dyDescent="0.2">
      <c r="A136" s="5" t="s">
        <v>31</v>
      </c>
      <c r="B136" s="5">
        <v>2009</v>
      </c>
      <c r="C136" s="5">
        <v>443.73200000000003</v>
      </c>
      <c r="D136" s="5">
        <v>224.90600000000001</v>
      </c>
      <c r="E136" s="5">
        <v>54.27</v>
      </c>
      <c r="F136" s="5">
        <v>15.066000000000001</v>
      </c>
      <c r="G136" s="5">
        <v>34.201999999999998</v>
      </c>
      <c r="H136" s="5">
        <v>1244.0219999999999</v>
      </c>
      <c r="I136" s="5">
        <v>1.796</v>
      </c>
      <c r="J136" s="5" t="s">
        <v>16</v>
      </c>
    </row>
    <row r="137" spans="1:10" ht="12.75" x14ac:dyDescent="0.2">
      <c r="A137" s="5" t="s">
        <v>31</v>
      </c>
      <c r="B137" s="5">
        <v>2010</v>
      </c>
      <c r="C137" s="5">
        <v>482.32666669999998</v>
      </c>
      <c r="D137" s="5">
        <v>236.83555559999999</v>
      </c>
      <c r="E137" s="5">
        <v>41.79</v>
      </c>
      <c r="F137" s="5">
        <v>22.50333333</v>
      </c>
      <c r="G137" s="5">
        <v>22.83888889</v>
      </c>
      <c r="H137" s="5">
        <v>1691.6011109999999</v>
      </c>
      <c r="I137" s="5">
        <v>2.233333333</v>
      </c>
      <c r="J137" s="5" t="s">
        <v>16</v>
      </c>
    </row>
    <row r="138" spans="1:10" ht="12.75" x14ac:dyDescent="0.2">
      <c r="A138" s="5" t="s">
        <v>31</v>
      </c>
      <c r="B138" s="5">
        <v>2011</v>
      </c>
      <c r="C138" s="5">
        <v>591.65909090000002</v>
      </c>
      <c r="D138" s="5">
        <v>233.2190909</v>
      </c>
      <c r="E138" s="5">
        <v>46.348181820000001</v>
      </c>
      <c r="F138" s="5">
        <v>28.800909090000001</v>
      </c>
      <c r="G138" s="5">
        <v>27.616363639999999</v>
      </c>
      <c r="H138" s="5">
        <v>1378.6427269999999</v>
      </c>
      <c r="I138" s="5">
        <v>2.2863636359999999</v>
      </c>
      <c r="J138" s="5" t="s">
        <v>16</v>
      </c>
    </row>
    <row r="139" spans="1:10" ht="12.75" x14ac:dyDescent="0.2">
      <c r="A139" s="5" t="s">
        <v>31</v>
      </c>
      <c r="B139" s="5">
        <v>2012</v>
      </c>
      <c r="C139" s="5">
        <v>574.98692310000001</v>
      </c>
      <c r="D139" s="5">
        <v>333.8</v>
      </c>
      <c r="E139" s="5">
        <v>41.74307692</v>
      </c>
      <c r="F139" s="5">
        <v>29.489230769999999</v>
      </c>
      <c r="G139" s="5">
        <v>28.303076919999999</v>
      </c>
      <c r="H139" s="5">
        <v>1242.627692</v>
      </c>
      <c r="I139" s="5">
        <v>2.2038461539999998</v>
      </c>
      <c r="J139" s="5" t="s">
        <v>25</v>
      </c>
    </row>
    <row r="140" spans="1:10" ht="12.75" x14ac:dyDescent="0.2">
      <c r="A140" s="5" t="s">
        <v>31</v>
      </c>
      <c r="B140" s="5">
        <v>2013</v>
      </c>
      <c r="C140" s="5">
        <v>465.45727269999998</v>
      </c>
      <c r="D140" s="5">
        <v>311.85181820000003</v>
      </c>
      <c r="E140" s="5">
        <v>52.59636364</v>
      </c>
      <c r="F140" s="5">
        <v>28.76363636</v>
      </c>
      <c r="G140" s="5">
        <v>24.285454550000001</v>
      </c>
      <c r="H140" s="5">
        <v>1335.7972729999999</v>
      </c>
      <c r="I140" s="5">
        <v>3.5136363639999999</v>
      </c>
      <c r="J140" s="5" t="s">
        <v>25</v>
      </c>
    </row>
    <row r="141" spans="1:10" ht="12.75" x14ac:dyDescent="0.2">
      <c r="A141" s="5" t="s">
        <v>31</v>
      </c>
      <c r="B141" s="5">
        <v>2014</v>
      </c>
      <c r="C141" s="5">
        <v>595.24749999999995</v>
      </c>
      <c r="D141" s="5">
        <v>204.92</v>
      </c>
      <c r="E141" s="5">
        <v>50.237499999999997</v>
      </c>
      <c r="F141" s="5">
        <v>31.2425</v>
      </c>
      <c r="G141" s="5">
        <v>23.818333330000002</v>
      </c>
      <c r="H141" s="5">
        <v>1743.239167</v>
      </c>
      <c r="I141" s="5">
        <v>2.8141666669999998</v>
      </c>
      <c r="J141" s="5" t="s">
        <v>16</v>
      </c>
    </row>
    <row r="142" spans="1:10" ht="12.75" x14ac:dyDescent="0.2">
      <c r="A142" s="5" t="s">
        <v>31</v>
      </c>
      <c r="B142" s="5">
        <v>2015</v>
      </c>
      <c r="C142" s="5">
        <v>606.32777780000004</v>
      </c>
      <c r="D142" s="5">
        <v>241.65888889999999</v>
      </c>
      <c r="E142" s="5">
        <v>44.188888890000001</v>
      </c>
      <c r="F142" s="5">
        <v>31.351111110000002</v>
      </c>
      <c r="G142" s="5">
        <v>25.665555560000001</v>
      </c>
      <c r="H142" s="5">
        <v>1359.15</v>
      </c>
      <c r="I142" s="5">
        <v>3.1188888889999999</v>
      </c>
      <c r="J142" s="5" t="s">
        <v>16</v>
      </c>
    </row>
    <row r="143" spans="1:10" ht="12.75" x14ac:dyDescent="0.2">
      <c r="A143" s="5" t="s">
        <v>31</v>
      </c>
      <c r="B143" s="5">
        <v>2016</v>
      </c>
      <c r="C143" s="5">
        <v>591.91444439999998</v>
      </c>
      <c r="D143" s="5">
        <v>308.63888889999998</v>
      </c>
      <c r="E143" s="5">
        <v>45.316666669999996</v>
      </c>
      <c r="F143" s="5">
        <v>28.646666669999998</v>
      </c>
      <c r="G143" s="5">
        <v>28.17777778</v>
      </c>
      <c r="H143" s="5">
        <v>1470.991111</v>
      </c>
      <c r="I143" s="5">
        <v>2.65</v>
      </c>
      <c r="J143" s="5" t="s">
        <v>25</v>
      </c>
    </row>
    <row r="144" spans="1:10" ht="12.75" x14ac:dyDescent="0.2">
      <c r="A144" s="5" t="s">
        <v>31</v>
      </c>
      <c r="B144" s="5">
        <v>2017</v>
      </c>
      <c r="C144" s="5">
        <v>462.96</v>
      </c>
      <c r="D144" s="5">
        <v>251.99333329999999</v>
      </c>
      <c r="E144" s="5">
        <v>46.404444439999999</v>
      </c>
      <c r="F144" s="5">
        <v>26.214444440000001</v>
      </c>
      <c r="G144" s="5">
        <v>26.851111110000002</v>
      </c>
      <c r="H144" s="5">
        <v>1857.62</v>
      </c>
      <c r="I144" s="5">
        <v>3.0655555560000001</v>
      </c>
      <c r="J144" s="5" t="s">
        <v>16</v>
      </c>
    </row>
    <row r="145" spans="1:10" ht="12.75" x14ac:dyDescent="0.2">
      <c r="A145" s="5" t="s">
        <v>31</v>
      </c>
      <c r="B145" s="5">
        <v>2018</v>
      </c>
      <c r="C145" s="5">
        <v>634.26888889999998</v>
      </c>
      <c r="D145" s="5">
        <v>220.4866667</v>
      </c>
      <c r="E145" s="5">
        <v>47.547777779999997</v>
      </c>
      <c r="F145" s="5">
        <v>29.306666669999998</v>
      </c>
      <c r="G145" s="5">
        <v>25.221111109999999</v>
      </c>
      <c r="H145" s="5">
        <v>1299.051111</v>
      </c>
      <c r="I145" s="5">
        <v>2.1355555559999999</v>
      </c>
      <c r="J145" s="5" t="s">
        <v>16</v>
      </c>
    </row>
    <row r="146" spans="1:10" ht="12.75" x14ac:dyDescent="0.2">
      <c r="A146" s="5" t="s">
        <v>31</v>
      </c>
      <c r="B146" s="5">
        <v>2019</v>
      </c>
      <c r="C146" s="5">
        <v>426.87333330000001</v>
      </c>
      <c r="D146" s="5">
        <v>371.66666670000001</v>
      </c>
      <c r="E146" s="5">
        <v>54.625</v>
      </c>
      <c r="F146" s="5">
        <v>33.6</v>
      </c>
      <c r="G146" s="5">
        <v>24.498333330000001</v>
      </c>
      <c r="H146" s="5">
        <v>1767.771667</v>
      </c>
      <c r="I146" s="5">
        <v>2.8166666669999998</v>
      </c>
      <c r="J146" s="5" t="s">
        <v>25</v>
      </c>
    </row>
    <row r="147" spans="1:10" ht="12.75" x14ac:dyDescent="0.2">
      <c r="A147" s="5" t="s">
        <v>31</v>
      </c>
      <c r="B147" s="5">
        <v>2020</v>
      </c>
      <c r="C147" s="5">
        <v>350.04399999999998</v>
      </c>
      <c r="D147" s="5">
        <v>284.76799999999997</v>
      </c>
      <c r="E147" s="5">
        <v>55.97666667</v>
      </c>
      <c r="F147" s="5">
        <v>32.719333329999998</v>
      </c>
      <c r="G147" s="5">
        <v>25.422666670000002</v>
      </c>
      <c r="H147" s="5">
        <v>1520.1406669999999</v>
      </c>
      <c r="I147" s="5">
        <v>1.996</v>
      </c>
      <c r="J147" s="5" t="s">
        <v>16</v>
      </c>
    </row>
    <row r="148" spans="1:10" ht="12.75" x14ac:dyDescent="0.2">
      <c r="A148" s="5" t="s">
        <v>31</v>
      </c>
      <c r="B148" s="5">
        <v>2021</v>
      </c>
      <c r="C148" s="5">
        <v>564.27454550000004</v>
      </c>
      <c r="D148" s="5">
        <v>236.3118182</v>
      </c>
      <c r="E148" s="5">
        <v>51.02</v>
      </c>
      <c r="F148" s="5">
        <v>23.171818179999999</v>
      </c>
      <c r="G148" s="5">
        <v>26.487272730000001</v>
      </c>
      <c r="H148" s="5">
        <v>1469.8</v>
      </c>
      <c r="I148" s="5">
        <v>2.1890909089999999</v>
      </c>
      <c r="J148" s="5" t="s">
        <v>16</v>
      </c>
    </row>
    <row r="149" spans="1:10" ht="12.75" x14ac:dyDescent="0.2">
      <c r="A149" s="5" t="s">
        <v>31</v>
      </c>
      <c r="B149" s="5">
        <v>2022</v>
      </c>
      <c r="C149" s="5">
        <v>474.27363639999999</v>
      </c>
      <c r="D149" s="5">
        <v>208.10909090000001</v>
      </c>
      <c r="E149" s="5">
        <v>49.978181820000003</v>
      </c>
      <c r="F149" s="5">
        <v>25.193636359999999</v>
      </c>
      <c r="G149" s="5">
        <v>20.553636359999999</v>
      </c>
      <c r="H149" s="5">
        <v>1067.060909</v>
      </c>
      <c r="I149" s="5">
        <v>2.7163636360000001</v>
      </c>
      <c r="J149" s="5" t="s">
        <v>16</v>
      </c>
    </row>
    <row r="150" spans="1:10" ht="12.75" x14ac:dyDescent="0.2">
      <c r="A150" s="5" t="s">
        <v>31</v>
      </c>
      <c r="B150" s="5">
        <v>2023</v>
      </c>
      <c r="C150" s="5">
        <v>280.60428569999999</v>
      </c>
      <c r="D150" s="5">
        <v>291.0928571</v>
      </c>
      <c r="E150" s="5">
        <v>56.832857140000002</v>
      </c>
      <c r="F150" s="5">
        <v>18.27857143</v>
      </c>
      <c r="G150" s="5">
        <v>24.554285709999998</v>
      </c>
      <c r="H150" s="5">
        <v>1516.63</v>
      </c>
      <c r="I150" s="5">
        <v>2.2771428569999999</v>
      </c>
      <c r="J150" s="5" t="s">
        <v>16</v>
      </c>
    </row>
    <row r="151" spans="1:10" ht="12.75" x14ac:dyDescent="0.2">
      <c r="A151" s="5" t="s">
        <v>31</v>
      </c>
      <c r="B151" s="5">
        <v>2024</v>
      </c>
      <c r="C151" s="5">
        <v>371.27333329999999</v>
      </c>
      <c r="D151" s="5">
        <v>262.02333329999999</v>
      </c>
      <c r="E151" s="5">
        <v>39.646666670000002</v>
      </c>
      <c r="F151" s="5">
        <v>21.28</v>
      </c>
      <c r="G151" s="5">
        <v>24.013333329999998</v>
      </c>
      <c r="H151" s="5">
        <v>1786.175</v>
      </c>
      <c r="I151" s="5">
        <v>3.0716666670000001</v>
      </c>
      <c r="J151" s="5" t="s">
        <v>16</v>
      </c>
    </row>
    <row r="152" spans="1:10" ht="12.75" x14ac:dyDescent="0.2">
      <c r="A152" s="5" t="s">
        <v>33</v>
      </c>
      <c r="B152" s="5">
        <v>2000</v>
      </c>
      <c r="C152" s="5">
        <v>215.22399999999999</v>
      </c>
      <c r="D152" s="5">
        <v>294.82600000000002</v>
      </c>
      <c r="E152" s="5">
        <v>43.591999999999999</v>
      </c>
      <c r="F152" s="5">
        <v>30.643999999999998</v>
      </c>
      <c r="G152" s="5">
        <v>28.184000000000001</v>
      </c>
      <c r="H152" s="5">
        <v>1112.8720000000001</v>
      </c>
      <c r="I152" s="5">
        <v>3.1</v>
      </c>
      <c r="J152" s="5" t="s">
        <v>16</v>
      </c>
    </row>
    <row r="153" spans="1:10" ht="12.75" x14ac:dyDescent="0.2">
      <c r="A153" s="5" t="s">
        <v>33</v>
      </c>
      <c r="B153" s="5">
        <v>2001</v>
      </c>
      <c r="C153" s="5">
        <v>646.42857140000001</v>
      </c>
      <c r="D153" s="5">
        <v>274.76571430000001</v>
      </c>
      <c r="E153" s="5">
        <v>46.672857139999998</v>
      </c>
      <c r="F153" s="5">
        <v>31.132857139999999</v>
      </c>
      <c r="G153" s="5">
        <v>28.462857140000001</v>
      </c>
      <c r="H153" s="5">
        <v>1664.31</v>
      </c>
      <c r="I153" s="5">
        <v>2.58</v>
      </c>
      <c r="J153" s="5" t="s">
        <v>16</v>
      </c>
    </row>
    <row r="154" spans="1:10" ht="12.75" x14ac:dyDescent="0.2">
      <c r="A154" s="5" t="s">
        <v>33</v>
      </c>
      <c r="B154" s="5">
        <v>2002</v>
      </c>
      <c r="C154" s="5">
        <v>569.154</v>
      </c>
      <c r="D154" s="5">
        <v>289.43</v>
      </c>
      <c r="E154" s="5">
        <v>53.094000000000001</v>
      </c>
      <c r="F154" s="5">
        <v>25.012</v>
      </c>
      <c r="G154" s="5">
        <v>27.314</v>
      </c>
      <c r="H154" s="5">
        <v>2031.0920000000001</v>
      </c>
      <c r="I154" s="5">
        <v>1.8029999999999999</v>
      </c>
      <c r="J154" s="5" t="s">
        <v>16</v>
      </c>
    </row>
    <row r="155" spans="1:10" ht="12.75" x14ac:dyDescent="0.2">
      <c r="A155" s="5" t="s">
        <v>33</v>
      </c>
      <c r="B155" s="5">
        <v>2003</v>
      </c>
      <c r="C155" s="5">
        <v>727.98699999999997</v>
      </c>
      <c r="D155" s="5">
        <v>289.48399999999998</v>
      </c>
      <c r="E155" s="5">
        <v>38.055999999999997</v>
      </c>
      <c r="F155" s="5">
        <v>29.648</v>
      </c>
      <c r="G155" s="5">
        <v>24.222000000000001</v>
      </c>
      <c r="H155" s="5">
        <v>1384.2070000000001</v>
      </c>
      <c r="I155" s="5">
        <v>2.2309999999999999</v>
      </c>
      <c r="J155" s="5" t="s">
        <v>16</v>
      </c>
    </row>
    <row r="156" spans="1:10" ht="12.75" x14ac:dyDescent="0.2">
      <c r="A156" s="5" t="s">
        <v>33</v>
      </c>
      <c r="B156" s="5">
        <v>2004</v>
      </c>
      <c r="C156" s="5">
        <v>436.42500000000001</v>
      </c>
      <c r="D156" s="5">
        <v>178.76750000000001</v>
      </c>
      <c r="E156" s="5">
        <v>34.967500000000001</v>
      </c>
      <c r="F156" s="5">
        <v>40.954999999999998</v>
      </c>
      <c r="G156" s="5">
        <v>29.127500000000001</v>
      </c>
      <c r="H156" s="5">
        <v>700.23</v>
      </c>
      <c r="I156" s="5">
        <v>2.3675000000000002</v>
      </c>
      <c r="J156" s="5" t="s">
        <v>28</v>
      </c>
    </row>
    <row r="157" spans="1:10" ht="12.75" x14ac:dyDescent="0.2">
      <c r="A157" s="5" t="s">
        <v>33</v>
      </c>
      <c r="B157" s="5">
        <v>2005</v>
      </c>
      <c r="C157" s="5">
        <v>356.95166669999998</v>
      </c>
      <c r="D157" s="5">
        <v>272.43583330000001</v>
      </c>
      <c r="E157" s="5">
        <v>48.369166669999998</v>
      </c>
      <c r="F157" s="5">
        <v>26.52</v>
      </c>
      <c r="G157" s="5">
        <v>21.9375</v>
      </c>
      <c r="H157" s="5">
        <v>1777.863333</v>
      </c>
      <c r="I157" s="5">
        <v>3.26</v>
      </c>
      <c r="J157" s="5" t="s">
        <v>16</v>
      </c>
    </row>
    <row r="158" spans="1:10" ht="12.75" x14ac:dyDescent="0.2">
      <c r="A158" s="5" t="s">
        <v>33</v>
      </c>
      <c r="B158" s="5">
        <v>2006</v>
      </c>
      <c r="C158" s="5">
        <v>519.47</v>
      </c>
      <c r="D158" s="5">
        <v>297.80153849999999</v>
      </c>
      <c r="E158" s="5">
        <v>53.29538462</v>
      </c>
      <c r="F158" s="5">
        <v>32.123846149999999</v>
      </c>
      <c r="G158" s="5">
        <v>25.042307690000001</v>
      </c>
      <c r="H158" s="5">
        <v>1911.5369229999999</v>
      </c>
      <c r="I158" s="5">
        <v>2.576923077</v>
      </c>
      <c r="J158" s="5" t="s">
        <v>16</v>
      </c>
    </row>
    <row r="159" spans="1:10" ht="12.75" x14ac:dyDescent="0.2">
      <c r="A159" s="5" t="s">
        <v>33</v>
      </c>
      <c r="B159" s="5">
        <v>2007</v>
      </c>
      <c r="C159" s="5">
        <v>603.37727270000005</v>
      </c>
      <c r="D159" s="5">
        <v>287.82727269999998</v>
      </c>
      <c r="E159" s="5">
        <v>58.756363639999996</v>
      </c>
      <c r="F159" s="5">
        <v>24.86090909</v>
      </c>
      <c r="G159" s="5">
        <v>26.433636360000001</v>
      </c>
      <c r="H159" s="5">
        <v>1477.133636</v>
      </c>
      <c r="I159" s="5">
        <v>2.460909091</v>
      </c>
      <c r="J159" s="5" t="s">
        <v>16</v>
      </c>
    </row>
    <row r="160" spans="1:10" ht="12.75" x14ac:dyDescent="0.2">
      <c r="A160" s="5" t="s">
        <v>33</v>
      </c>
      <c r="B160" s="5">
        <v>2008</v>
      </c>
      <c r="C160" s="5">
        <v>625.78714290000005</v>
      </c>
      <c r="D160" s="5">
        <v>285.27428570000001</v>
      </c>
      <c r="E160" s="5">
        <v>47.807142859999999</v>
      </c>
      <c r="F160" s="5">
        <v>35.81</v>
      </c>
      <c r="G160" s="5">
        <v>20.667142859999998</v>
      </c>
      <c r="H160" s="5">
        <v>1724.527143</v>
      </c>
      <c r="I160" s="5">
        <v>1.6328571430000001</v>
      </c>
      <c r="J160" s="5" t="s">
        <v>16</v>
      </c>
    </row>
    <row r="161" spans="1:10" ht="12.75" x14ac:dyDescent="0.2">
      <c r="A161" s="5" t="s">
        <v>33</v>
      </c>
      <c r="B161" s="5">
        <v>2009</v>
      </c>
      <c r="C161" s="5">
        <v>129.63666670000001</v>
      </c>
      <c r="D161" s="5">
        <v>266.55</v>
      </c>
      <c r="E161" s="5">
        <v>47.276666669999997</v>
      </c>
      <c r="F161" s="5">
        <v>29.82</v>
      </c>
      <c r="G161" s="5">
        <v>13.823333330000001</v>
      </c>
      <c r="H161" s="5">
        <v>1329.656667</v>
      </c>
      <c r="I161" s="5">
        <v>2.1666666669999999</v>
      </c>
      <c r="J161" s="5" t="s">
        <v>16</v>
      </c>
    </row>
    <row r="162" spans="1:10" ht="12.75" x14ac:dyDescent="0.2">
      <c r="A162" s="5" t="s">
        <v>33</v>
      </c>
      <c r="B162" s="5">
        <v>2010</v>
      </c>
      <c r="C162" s="5">
        <v>322.49</v>
      </c>
      <c r="D162" s="5">
        <v>263.35714289999999</v>
      </c>
      <c r="E162" s="5">
        <v>43.071428570000002</v>
      </c>
      <c r="F162" s="5">
        <v>27.53</v>
      </c>
      <c r="G162" s="5">
        <v>23.228571429999999</v>
      </c>
      <c r="H162" s="5">
        <v>1013.7371429999999</v>
      </c>
      <c r="I162" s="5">
        <v>1.6071428569999999</v>
      </c>
      <c r="J162" s="5" t="s">
        <v>16</v>
      </c>
    </row>
    <row r="163" spans="1:10" ht="12.75" x14ac:dyDescent="0.2">
      <c r="A163" s="5" t="s">
        <v>33</v>
      </c>
      <c r="B163" s="5">
        <v>2011</v>
      </c>
      <c r="C163" s="5">
        <v>613.32222220000006</v>
      </c>
      <c r="D163" s="5">
        <v>184.7377778</v>
      </c>
      <c r="E163" s="5">
        <v>39.733333330000001</v>
      </c>
      <c r="F163" s="5">
        <v>23.778888890000001</v>
      </c>
      <c r="G163" s="5">
        <v>23.377777779999999</v>
      </c>
      <c r="H163" s="5">
        <v>1436.822222</v>
      </c>
      <c r="I163" s="5">
        <v>3.4155555560000002</v>
      </c>
      <c r="J163" s="5" t="s">
        <v>28</v>
      </c>
    </row>
    <row r="164" spans="1:10" ht="12.75" x14ac:dyDescent="0.2">
      <c r="A164" s="5" t="s">
        <v>33</v>
      </c>
      <c r="B164" s="5">
        <v>2012</v>
      </c>
      <c r="C164" s="5">
        <v>496.17466669999999</v>
      </c>
      <c r="D164" s="5">
        <v>274.86266669999998</v>
      </c>
      <c r="E164" s="5">
        <v>46.564666670000001</v>
      </c>
      <c r="F164" s="5">
        <v>20.73533333</v>
      </c>
      <c r="G164" s="5">
        <v>26.72066667</v>
      </c>
      <c r="H164" s="5">
        <v>1663.1073329999999</v>
      </c>
      <c r="I164" s="5">
        <v>3.0733333329999999</v>
      </c>
      <c r="J164" s="5" t="s">
        <v>16</v>
      </c>
    </row>
    <row r="165" spans="1:10" ht="12.75" x14ac:dyDescent="0.2">
      <c r="A165" s="5" t="s">
        <v>33</v>
      </c>
      <c r="B165" s="5">
        <v>2013</v>
      </c>
      <c r="C165" s="5">
        <v>373.52</v>
      </c>
      <c r="D165" s="5">
        <v>350.70857139999998</v>
      </c>
      <c r="E165" s="5">
        <v>58.90142857</v>
      </c>
      <c r="F165" s="5">
        <v>30.941428569999999</v>
      </c>
      <c r="G165" s="5">
        <v>27.59</v>
      </c>
      <c r="H165" s="5">
        <v>1651.584286</v>
      </c>
      <c r="I165" s="5">
        <v>2.021428571</v>
      </c>
      <c r="J165" s="5" t="s">
        <v>25</v>
      </c>
    </row>
    <row r="166" spans="1:10" ht="12.75" x14ac:dyDescent="0.2">
      <c r="A166" s="5" t="s">
        <v>33</v>
      </c>
      <c r="B166" s="5">
        <v>2014</v>
      </c>
      <c r="C166" s="5">
        <v>531.37153850000004</v>
      </c>
      <c r="D166" s="5">
        <v>222.1376923</v>
      </c>
      <c r="E166" s="5">
        <v>51.772307689999998</v>
      </c>
      <c r="F166" s="5">
        <v>23.624615380000002</v>
      </c>
      <c r="G166" s="5">
        <v>20.43615385</v>
      </c>
      <c r="H166" s="5">
        <v>1711.955385</v>
      </c>
      <c r="I166" s="5">
        <v>3.8207692309999999</v>
      </c>
      <c r="J166" s="5" t="s">
        <v>16</v>
      </c>
    </row>
    <row r="167" spans="1:10" ht="12.75" x14ac:dyDescent="0.2">
      <c r="A167" s="5" t="s">
        <v>33</v>
      </c>
      <c r="B167" s="5">
        <v>2015</v>
      </c>
      <c r="C167" s="5">
        <v>660.48</v>
      </c>
      <c r="D167" s="5">
        <v>325.88499999999999</v>
      </c>
      <c r="E167" s="5">
        <v>41.158333329999998</v>
      </c>
      <c r="F167" s="5">
        <v>18.99666667</v>
      </c>
      <c r="G167" s="5">
        <v>22.03833333</v>
      </c>
      <c r="H167" s="5">
        <v>1783.0050000000001</v>
      </c>
      <c r="I167" s="5">
        <v>1.963333333</v>
      </c>
      <c r="J167" s="5" t="s">
        <v>25</v>
      </c>
    </row>
    <row r="168" spans="1:10" ht="12.75" x14ac:dyDescent="0.2">
      <c r="A168" s="5" t="s">
        <v>33</v>
      </c>
      <c r="B168" s="5">
        <v>2016</v>
      </c>
      <c r="C168" s="5">
        <v>528.56153849999998</v>
      </c>
      <c r="D168" s="5">
        <v>275.11538460000003</v>
      </c>
      <c r="E168" s="5">
        <v>45.713846150000002</v>
      </c>
      <c r="F168" s="5">
        <v>26.943076919999999</v>
      </c>
      <c r="G168" s="5">
        <v>17.559999999999999</v>
      </c>
      <c r="H168" s="5">
        <v>1593.666923</v>
      </c>
      <c r="I168" s="5">
        <v>2.9638461540000001</v>
      </c>
      <c r="J168" s="5" t="s">
        <v>16</v>
      </c>
    </row>
    <row r="169" spans="1:10" ht="12.75" x14ac:dyDescent="0.2">
      <c r="A169" s="5" t="s">
        <v>33</v>
      </c>
      <c r="B169" s="5">
        <v>2017</v>
      </c>
      <c r="C169" s="5">
        <v>548.83124999999995</v>
      </c>
      <c r="D169" s="5">
        <v>211.255</v>
      </c>
      <c r="E169" s="5">
        <v>44.12</v>
      </c>
      <c r="F169" s="5">
        <v>33.53875</v>
      </c>
      <c r="G169" s="5">
        <v>24.8825</v>
      </c>
      <c r="H169" s="5">
        <v>1364.2262499999999</v>
      </c>
      <c r="I169" s="5">
        <v>2.8675000000000002</v>
      </c>
      <c r="J169" s="5" t="s">
        <v>16</v>
      </c>
    </row>
    <row r="170" spans="1:10" ht="12.75" x14ac:dyDescent="0.2">
      <c r="A170" s="5" t="s">
        <v>33</v>
      </c>
      <c r="B170" s="5">
        <v>2018</v>
      </c>
      <c r="C170" s="5">
        <v>514.18818180000005</v>
      </c>
      <c r="D170" s="5">
        <v>285.70181819999999</v>
      </c>
      <c r="E170" s="5">
        <v>46.782727270000002</v>
      </c>
      <c r="F170" s="5">
        <v>30.7</v>
      </c>
      <c r="G170" s="5">
        <v>25.523636360000001</v>
      </c>
      <c r="H170" s="5">
        <v>1293.6927270000001</v>
      </c>
      <c r="I170" s="5">
        <v>3.0627272730000001</v>
      </c>
      <c r="J170" s="5" t="s">
        <v>16</v>
      </c>
    </row>
    <row r="171" spans="1:10" ht="12.75" x14ac:dyDescent="0.2">
      <c r="A171" s="5" t="s">
        <v>33</v>
      </c>
      <c r="B171" s="5">
        <v>2019</v>
      </c>
      <c r="C171" s="5">
        <v>531.14142860000004</v>
      </c>
      <c r="D171" s="5">
        <v>287.07714290000001</v>
      </c>
      <c r="E171" s="5">
        <v>42.094285710000001</v>
      </c>
      <c r="F171" s="5">
        <v>30.032857140000001</v>
      </c>
      <c r="G171" s="5">
        <v>24.45</v>
      </c>
      <c r="H171" s="5">
        <v>1919.2742860000001</v>
      </c>
      <c r="I171" s="5">
        <v>2.458571429</v>
      </c>
      <c r="J171" s="5" t="s">
        <v>16</v>
      </c>
    </row>
    <row r="172" spans="1:10" ht="12.75" x14ac:dyDescent="0.2">
      <c r="A172" s="5" t="s">
        <v>33</v>
      </c>
      <c r="B172" s="5">
        <v>2020</v>
      </c>
      <c r="C172" s="5">
        <v>648.95692310000004</v>
      </c>
      <c r="D172" s="5">
        <v>294.7538462</v>
      </c>
      <c r="E172" s="5">
        <v>44.643846150000002</v>
      </c>
      <c r="F172" s="5">
        <v>30.8</v>
      </c>
      <c r="G172" s="5">
        <v>23.623076919999999</v>
      </c>
      <c r="H172" s="5">
        <v>1532.4192310000001</v>
      </c>
      <c r="I172" s="5">
        <v>2.3430769229999999</v>
      </c>
      <c r="J172" s="5" t="s">
        <v>16</v>
      </c>
    </row>
    <row r="173" spans="1:10" ht="12.75" x14ac:dyDescent="0.2">
      <c r="A173" s="5" t="s">
        <v>33</v>
      </c>
      <c r="B173" s="5">
        <v>2021</v>
      </c>
      <c r="C173" s="5">
        <v>425.78727270000002</v>
      </c>
      <c r="D173" s="5">
        <v>264.1345455</v>
      </c>
      <c r="E173" s="5">
        <v>47.398181819999998</v>
      </c>
      <c r="F173" s="5">
        <v>30.968181820000002</v>
      </c>
      <c r="G173" s="5">
        <v>23.855454550000001</v>
      </c>
      <c r="H173" s="5">
        <v>1441.6118180000001</v>
      </c>
      <c r="I173" s="5">
        <v>2.2999999999999998</v>
      </c>
      <c r="J173" s="5" t="s">
        <v>16</v>
      </c>
    </row>
    <row r="174" spans="1:10" ht="12.75" x14ac:dyDescent="0.2">
      <c r="A174" s="5" t="s">
        <v>33</v>
      </c>
      <c r="B174" s="5">
        <v>2022</v>
      </c>
      <c r="C174" s="5">
        <v>528.09785710000006</v>
      </c>
      <c r="D174" s="5">
        <v>281.53357140000003</v>
      </c>
      <c r="E174" s="5">
        <v>52.335714289999999</v>
      </c>
      <c r="F174" s="5">
        <v>26.934999999999999</v>
      </c>
      <c r="G174" s="5">
        <v>24.120714289999999</v>
      </c>
      <c r="H174" s="5">
        <v>1676.2514289999999</v>
      </c>
      <c r="I174" s="5">
        <v>2.7321428569999999</v>
      </c>
      <c r="J174" s="5" t="s">
        <v>16</v>
      </c>
    </row>
    <row r="175" spans="1:10" ht="12.75" x14ac:dyDescent="0.2">
      <c r="A175" s="5" t="s">
        <v>33</v>
      </c>
      <c r="B175" s="5">
        <v>2023</v>
      </c>
      <c r="C175" s="5">
        <v>564.02200000000005</v>
      </c>
      <c r="D175" s="5">
        <v>248.52099999999999</v>
      </c>
      <c r="E175" s="5">
        <v>53.012</v>
      </c>
      <c r="F175" s="5">
        <v>28.683</v>
      </c>
      <c r="G175" s="5">
        <v>25.183</v>
      </c>
      <c r="H175" s="5">
        <v>1637.84</v>
      </c>
      <c r="I175" s="5">
        <v>2.6259999999999999</v>
      </c>
      <c r="J175" s="5" t="s">
        <v>16</v>
      </c>
    </row>
    <row r="176" spans="1:10" ht="12.75" x14ac:dyDescent="0.2">
      <c r="A176" s="5" t="s">
        <v>33</v>
      </c>
      <c r="B176" s="5">
        <v>2024</v>
      </c>
      <c r="C176" s="5">
        <v>551.20272729999999</v>
      </c>
      <c r="D176" s="5">
        <v>253.62909089999999</v>
      </c>
      <c r="E176" s="5">
        <v>55.769090910000003</v>
      </c>
      <c r="F176" s="5">
        <v>25.41545455</v>
      </c>
      <c r="G176" s="5">
        <v>23.273636360000001</v>
      </c>
      <c r="H176" s="5">
        <v>916.2636364</v>
      </c>
      <c r="I176" s="5">
        <v>3.2372727270000001</v>
      </c>
      <c r="J176" s="5" t="s">
        <v>16</v>
      </c>
    </row>
    <row r="177" spans="1:10" ht="12.75" x14ac:dyDescent="0.2">
      <c r="A177" s="5" t="s">
        <v>44</v>
      </c>
      <c r="B177" s="5">
        <v>2000</v>
      </c>
      <c r="C177" s="5">
        <v>422.39249999999998</v>
      </c>
      <c r="D177" s="5">
        <v>404.35</v>
      </c>
      <c r="E177" s="5">
        <v>37.487499999999997</v>
      </c>
      <c r="F177" s="5">
        <v>39.08</v>
      </c>
      <c r="G177" s="5">
        <v>23.734999999999999</v>
      </c>
      <c r="H177" s="5">
        <v>1568.9549999999999</v>
      </c>
      <c r="I177" s="5">
        <v>2.2650000000000001</v>
      </c>
      <c r="J177" s="5" t="s">
        <v>25</v>
      </c>
    </row>
    <row r="178" spans="1:10" ht="12.75" x14ac:dyDescent="0.2">
      <c r="A178" s="5" t="s">
        <v>44</v>
      </c>
      <c r="B178" s="5">
        <v>2001</v>
      </c>
      <c r="C178" s="5">
        <v>478.75615379999999</v>
      </c>
      <c r="D178" s="5">
        <v>200.8846154</v>
      </c>
      <c r="E178" s="5">
        <v>59.99</v>
      </c>
      <c r="F178" s="5">
        <v>20.734615380000001</v>
      </c>
      <c r="G178" s="5">
        <v>25.14</v>
      </c>
      <c r="H178" s="5">
        <v>1766.200769</v>
      </c>
      <c r="I178" s="5">
        <v>3.038461538</v>
      </c>
      <c r="J178" s="5" t="s">
        <v>16</v>
      </c>
    </row>
    <row r="179" spans="1:10" ht="12.75" x14ac:dyDescent="0.2">
      <c r="A179" s="5" t="s">
        <v>44</v>
      </c>
      <c r="B179" s="5">
        <v>2002</v>
      </c>
      <c r="C179" s="5">
        <v>344.73750000000001</v>
      </c>
      <c r="D179" s="5">
        <v>333.92750000000001</v>
      </c>
      <c r="E179" s="5">
        <v>44.505000000000003</v>
      </c>
      <c r="F179" s="5">
        <v>26.873750000000001</v>
      </c>
      <c r="G179" s="5">
        <v>25.98875</v>
      </c>
      <c r="H179" s="5">
        <v>1603.4749999999999</v>
      </c>
      <c r="I179" s="5">
        <v>1.89</v>
      </c>
      <c r="J179" s="5" t="s">
        <v>25</v>
      </c>
    </row>
    <row r="180" spans="1:10" ht="12.75" x14ac:dyDescent="0.2">
      <c r="A180" s="5" t="s">
        <v>44</v>
      </c>
      <c r="B180" s="5">
        <v>2003</v>
      </c>
      <c r="C180" s="5">
        <v>455.10374999999999</v>
      </c>
      <c r="D180" s="5">
        <v>298.29500000000002</v>
      </c>
      <c r="E180" s="5">
        <v>46.626249999999999</v>
      </c>
      <c r="F180" s="5">
        <v>25.02</v>
      </c>
      <c r="G180" s="5">
        <v>23.38</v>
      </c>
      <c r="H180" s="5">
        <v>2220.125</v>
      </c>
      <c r="I180" s="5">
        <v>2.2349999999999999</v>
      </c>
      <c r="J180" s="5" t="s">
        <v>16</v>
      </c>
    </row>
    <row r="181" spans="1:10" ht="12.75" x14ac:dyDescent="0.2">
      <c r="A181" s="5" t="s">
        <v>44</v>
      </c>
      <c r="B181" s="5">
        <v>2004</v>
      </c>
      <c r="C181" s="5">
        <v>450.94</v>
      </c>
      <c r="D181" s="5">
        <v>228.80875</v>
      </c>
      <c r="E181" s="5">
        <v>52.234999999999999</v>
      </c>
      <c r="F181" s="5">
        <v>21.03875</v>
      </c>
      <c r="G181" s="5">
        <v>26.451250000000002</v>
      </c>
      <c r="H181" s="5">
        <v>1353.0287499999999</v>
      </c>
      <c r="I181" s="5">
        <v>2.3574999999999999</v>
      </c>
      <c r="J181" s="5" t="s">
        <v>16</v>
      </c>
    </row>
    <row r="182" spans="1:10" ht="12.75" x14ac:dyDescent="0.2">
      <c r="A182" s="5" t="s">
        <v>44</v>
      </c>
      <c r="B182" s="5">
        <v>2005</v>
      </c>
      <c r="C182" s="5">
        <v>479.33222219999999</v>
      </c>
      <c r="D182" s="5">
        <v>338.36555559999999</v>
      </c>
      <c r="E182" s="5">
        <v>51.533333329999998</v>
      </c>
      <c r="F182" s="5">
        <v>28.485555560000002</v>
      </c>
      <c r="G182" s="5">
        <v>23.52222222</v>
      </c>
      <c r="H182" s="5">
        <v>1663.0577780000001</v>
      </c>
      <c r="I182" s="5">
        <v>2.076666667</v>
      </c>
      <c r="J182" s="5" t="s">
        <v>25</v>
      </c>
    </row>
    <row r="183" spans="1:10" ht="12.75" x14ac:dyDescent="0.2">
      <c r="A183" s="5" t="s">
        <v>44</v>
      </c>
      <c r="B183" s="5">
        <v>2006</v>
      </c>
      <c r="C183" s="5">
        <v>603.71571429999995</v>
      </c>
      <c r="D183" s="5">
        <v>269.3114286</v>
      </c>
      <c r="E183" s="5">
        <v>52.885714290000003</v>
      </c>
      <c r="F183" s="5">
        <v>24.801428569999999</v>
      </c>
      <c r="G183" s="5">
        <v>19.367142860000001</v>
      </c>
      <c r="H183" s="5">
        <v>1877.7657139999999</v>
      </c>
      <c r="I183" s="5">
        <v>3.2428571430000002</v>
      </c>
      <c r="J183" s="5" t="s">
        <v>16</v>
      </c>
    </row>
    <row r="184" spans="1:10" ht="12.75" x14ac:dyDescent="0.2">
      <c r="A184" s="5" t="s">
        <v>44</v>
      </c>
      <c r="B184" s="5">
        <v>2007</v>
      </c>
      <c r="C184" s="5">
        <v>438.13428570000002</v>
      </c>
      <c r="D184" s="5">
        <v>381.55714289999997</v>
      </c>
      <c r="E184" s="5">
        <v>40.762857140000001</v>
      </c>
      <c r="F184" s="5">
        <v>32.835714289999999</v>
      </c>
      <c r="G184" s="5">
        <v>25.372857140000001</v>
      </c>
      <c r="H184" s="5">
        <v>1676.654286</v>
      </c>
      <c r="I184" s="5">
        <v>1.7871428570000001</v>
      </c>
      <c r="J184" s="5" t="s">
        <v>25</v>
      </c>
    </row>
    <row r="185" spans="1:10" ht="12.75" x14ac:dyDescent="0.2">
      <c r="A185" s="5" t="s">
        <v>44</v>
      </c>
      <c r="B185" s="5">
        <v>2008</v>
      </c>
      <c r="C185" s="5">
        <v>629.81333329999995</v>
      </c>
      <c r="D185" s="5">
        <v>341.89222219999999</v>
      </c>
      <c r="E185" s="5">
        <v>46.102222220000002</v>
      </c>
      <c r="F185" s="5">
        <v>35.652222219999999</v>
      </c>
      <c r="G185" s="5">
        <v>19.91</v>
      </c>
      <c r="H185" s="5">
        <v>2011.2344439999999</v>
      </c>
      <c r="I185" s="5">
        <v>3.0211111110000002</v>
      </c>
      <c r="J185" s="5" t="s">
        <v>25</v>
      </c>
    </row>
    <row r="186" spans="1:10" ht="12.75" x14ac:dyDescent="0.2">
      <c r="A186" s="5" t="s">
        <v>44</v>
      </c>
      <c r="B186" s="5">
        <v>2009</v>
      </c>
      <c r="C186" s="5">
        <v>558.14499999999998</v>
      </c>
      <c r="D186" s="5">
        <v>223.31899999999999</v>
      </c>
      <c r="E186" s="5">
        <v>43.686999999999998</v>
      </c>
      <c r="F186" s="5">
        <v>26.603999999999999</v>
      </c>
      <c r="G186" s="5">
        <v>25.576000000000001</v>
      </c>
      <c r="H186" s="5">
        <v>1710.0319999999999</v>
      </c>
      <c r="I186" s="5">
        <v>2.351</v>
      </c>
      <c r="J186" s="5" t="s">
        <v>16</v>
      </c>
    </row>
    <row r="187" spans="1:10" ht="12.75" x14ac:dyDescent="0.2">
      <c r="A187" s="5" t="s">
        <v>44</v>
      </c>
      <c r="B187" s="5">
        <v>2010</v>
      </c>
      <c r="C187" s="5">
        <v>525.52083330000005</v>
      </c>
      <c r="D187" s="5">
        <v>316.42250000000001</v>
      </c>
      <c r="E187" s="5">
        <v>52.28833333</v>
      </c>
      <c r="F187" s="5">
        <v>23.452500000000001</v>
      </c>
      <c r="G187" s="5">
        <v>23.133333329999999</v>
      </c>
      <c r="H187" s="5">
        <v>1320.1583330000001</v>
      </c>
      <c r="I187" s="5">
        <v>1.7183333329999999</v>
      </c>
      <c r="J187" s="5" t="s">
        <v>25</v>
      </c>
    </row>
    <row r="188" spans="1:10" ht="12.75" x14ac:dyDescent="0.2">
      <c r="A188" s="5" t="s">
        <v>44</v>
      </c>
      <c r="B188" s="5">
        <v>2011</v>
      </c>
      <c r="C188" s="5">
        <v>715.16714290000004</v>
      </c>
      <c r="D188" s="5">
        <v>269.5357143</v>
      </c>
      <c r="E188" s="5">
        <v>65.791428569999994</v>
      </c>
      <c r="F188" s="5">
        <v>30.235714290000001</v>
      </c>
      <c r="G188" s="5">
        <v>28.431428570000001</v>
      </c>
      <c r="H188" s="5">
        <v>1213.161429</v>
      </c>
      <c r="I188" s="5">
        <v>3.002857143</v>
      </c>
      <c r="J188" s="5" t="s">
        <v>16</v>
      </c>
    </row>
    <row r="189" spans="1:10" ht="12.75" x14ac:dyDescent="0.2">
      <c r="A189" s="5" t="s">
        <v>44</v>
      </c>
      <c r="B189" s="5">
        <v>2012</v>
      </c>
      <c r="C189" s="5">
        <v>598.0823077</v>
      </c>
      <c r="D189" s="5">
        <v>328.2092308</v>
      </c>
      <c r="E189" s="5">
        <v>49.091538460000002</v>
      </c>
      <c r="F189" s="5">
        <v>27.76</v>
      </c>
      <c r="G189" s="5">
        <v>23.633076920000001</v>
      </c>
      <c r="H189" s="5">
        <v>1334.451538</v>
      </c>
      <c r="I189" s="5">
        <v>2.1469230769999998</v>
      </c>
      <c r="J189" s="5" t="s">
        <v>25</v>
      </c>
    </row>
    <row r="190" spans="1:10" ht="12.75" x14ac:dyDescent="0.2">
      <c r="A190" s="5" t="s">
        <v>44</v>
      </c>
      <c r="B190" s="5">
        <v>2013</v>
      </c>
      <c r="C190" s="5">
        <v>623.01384619999999</v>
      </c>
      <c r="D190" s="5">
        <v>296.59153850000001</v>
      </c>
      <c r="E190" s="5">
        <v>55.988461540000003</v>
      </c>
      <c r="F190" s="5">
        <v>20.498461540000001</v>
      </c>
      <c r="G190" s="5">
        <v>25.690769230000001</v>
      </c>
      <c r="H190" s="5">
        <v>1236.7230770000001</v>
      </c>
      <c r="I190" s="5">
        <v>2.2453846149999999</v>
      </c>
      <c r="J190" s="5" t="s">
        <v>16</v>
      </c>
    </row>
    <row r="191" spans="1:10" ht="12.75" x14ac:dyDescent="0.2">
      <c r="A191" s="5" t="s">
        <v>44</v>
      </c>
      <c r="B191" s="5">
        <v>2014</v>
      </c>
      <c r="C191" s="5">
        <v>500.43777779999999</v>
      </c>
      <c r="D191" s="5">
        <v>236.15777779999999</v>
      </c>
      <c r="E191" s="5">
        <v>54.778888889999998</v>
      </c>
      <c r="F191" s="5">
        <v>35.398888890000002</v>
      </c>
      <c r="G191" s="5">
        <v>26.25222222</v>
      </c>
      <c r="H191" s="5">
        <v>1814.1933329999999</v>
      </c>
      <c r="I191" s="5">
        <v>2.7344444440000002</v>
      </c>
      <c r="J191" s="5" t="s">
        <v>16</v>
      </c>
    </row>
    <row r="192" spans="1:10" ht="12.75" x14ac:dyDescent="0.2">
      <c r="A192" s="5" t="s">
        <v>44</v>
      </c>
      <c r="B192" s="5">
        <v>2015</v>
      </c>
      <c r="C192" s="5">
        <v>551.12090909999995</v>
      </c>
      <c r="D192" s="5">
        <v>232.72636360000001</v>
      </c>
      <c r="E192" s="5">
        <v>41.872727269999999</v>
      </c>
      <c r="F192" s="5">
        <v>30.280909090000002</v>
      </c>
      <c r="G192" s="5">
        <v>22.2</v>
      </c>
      <c r="H192" s="5">
        <v>1314.403636</v>
      </c>
      <c r="I192" s="5">
        <v>3.02</v>
      </c>
      <c r="J192" s="5" t="s">
        <v>16</v>
      </c>
    </row>
    <row r="193" spans="1:10" ht="12.75" x14ac:dyDescent="0.2">
      <c r="A193" s="5" t="s">
        <v>44</v>
      </c>
      <c r="B193" s="5">
        <v>2016</v>
      </c>
      <c r="C193" s="5">
        <v>425.52625</v>
      </c>
      <c r="D193" s="5">
        <v>312.06124999999997</v>
      </c>
      <c r="E193" s="5">
        <v>44.622500000000002</v>
      </c>
      <c r="F193" s="5">
        <v>28.978750000000002</v>
      </c>
      <c r="G193" s="5">
        <v>22.286249999999999</v>
      </c>
      <c r="H193" s="5">
        <v>1839.97875</v>
      </c>
      <c r="I193" s="5">
        <v>3.09375</v>
      </c>
      <c r="J193" s="5" t="s">
        <v>25</v>
      </c>
    </row>
    <row r="194" spans="1:10" ht="12.75" x14ac:dyDescent="0.2">
      <c r="A194" s="5" t="s">
        <v>44</v>
      </c>
      <c r="B194" s="5">
        <v>2017</v>
      </c>
      <c r="C194" s="5">
        <v>628.49444440000002</v>
      </c>
      <c r="D194" s="5">
        <v>273.0844444</v>
      </c>
      <c r="E194" s="5">
        <v>53.496666670000003</v>
      </c>
      <c r="F194" s="5">
        <v>25.77222222</v>
      </c>
      <c r="G194" s="5">
        <v>29.676666669999999</v>
      </c>
      <c r="H194" s="5">
        <v>1399.413333</v>
      </c>
      <c r="I194" s="5">
        <v>2.3511111109999998</v>
      </c>
      <c r="J194" s="5" t="s">
        <v>16</v>
      </c>
    </row>
    <row r="195" spans="1:10" ht="12.75" x14ac:dyDescent="0.2">
      <c r="A195" s="5" t="s">
        <v>44</v>
      </c>
      <c r="B195" s="5">
        <v>2018</v>
      </c>
      <c r="C195" s="5">
        <v>407.42090910000002</v>
      </c>
      <c r="D195" s="5">
        <v>290.49272730000001</v>
      </c>
      <c r="E195" s="5">
        <v>50.456363639999999</v>
      </c>
      <c r="F195" s="5">
        <v>31.29090909</v>
      </c>
      <c r="G195" s="5">
        <v>23.586363639999998</v>
      </c>
      <c r="H195" s="5">
        <v>1713.8336360000001</v>
      </c>
      <c r="I195" s="5">
        <v>2.441818182</v>
      </c>
      <c r="J195" s="5" t="s">
        <v>16</v>
      </c>
    </row>
    <row r="196" spans="1:10" ht="12.75" x14ac:dyDescent="0.2">
      <c r="A196" s="5" t="s">
        <v>44</v>
      </c>
      <c r="B196" s="5">
        <v>2019</v>
      </c>
      <c r="C196" s="5">
        <v>427.82600000000002</v>
      </c>
      <c r="D196" s="5">
        <v>271.54599999999999</v>
      </c>
      <c r="E196" s="5">
        <v>52.225999999999999</v>
      </c>
      <c r="F196" s="5">
        <v>26.398</v>
      </c>
      <c r="G196" s="5">
        <v>27.722000000000001</v>
      </c>
      <c r="H196" s="5">
        <v>999.73299999999995</v>
      </c>
      <c r="I196" s="5">
        <v>2.2400000000000002</v>
      </c>
      <c r="J196" s="5" t="s">
        <v>16</v>
      </c>
    </row>
    <row r="197" spans="1:10" ht="12.75" x14ac:dyDescent="0.2">
      <c r="A197" s="5" t="s">
        <v>44</v>
      </c>
      <c r="B197" s="5">
        <v>2020</v>
      </c>
      <c r="C197" s="5">
        <v>446.35571429999999</v>
      </c>
      <c r="D197" s="5">
        <v>289.66142860000002</v>
      </c>
      <c r="E197" s="5">
        <v>64.498571429999998</v>
      </c>
      <c r="F197" s="5">
        <v>26.792857139999999</v>
      </c>
      <c r="G197" s="5">
        <v>24.05285714</v>
      </c>
      <c r="H197" s="5">
        <v>1574.5614290000001</v>
      </c>
      <c r="I197" s="5">
        <v>2.6757142859999998</v>
      </c>
      <c r="J197" s="5" t="s">
        <v>16</v>
      </c>
    </row>
    <row r="198" spans="1:10" ht="12.75" x14ac:dyDescent="0.2">
      <c r="A198" s="5" t="s">
        <v>44</v>
      </c>
      <c r="B198" s="5">
        <v>2021</v>
      </c>
      <c r="C198" s="5">
        <v>442.69909089999999</v>
      </c>
      <c r="D198" s="5">
        <v>276.65181819999998</v>
      </c>
      <c r="E198" s="5">
        <v>45.219090909999998</v>
      </c>
      <c r="F198" s="5">
        <v>24.586363639999998</v>
      </c>
      <c r="G198" s="5">
        <v>22.593636360000001</v>
      </c>
      <c r="H198" s="5">
        <v>1742.1645450000001</v>
      </c>
      <c r="I198" s="5">
        <v>2.1572727270000001</v>
      </c>
      <c r="J198" s="5" t="s">
        <v>16</v>
      </c>
    </row>
    <row r="199" spans="1:10" ht="12.75" x14ac:dyDescent="0.2">
      <c r="A199" s="5" t="s">
        <v>44</v>
      </c>
      <c r="B199" s="5">
        <v>2022</v>
      </c>
      <c r="C199" s="5">
        <v>497.88785710000002</v>
      </c>
      <c r="D199" s="5">
        <v>354.5978571</v>
      </c>
      <c r="E199" s="5">
        <v>47.52</v>
      </c>
      <c r="F199" s="5">
        <v>33.61357143</v>
      </c>
      <c r="G199" s="5">
        <v>22.99142857</v>
      </c>
      <c r="H199" s="5">
        <v>2146.368571</v>
      </c>
      <c r="I199" s="5">
        <v>2.9685714289999998</v>
      </c>
      <c r="J199" s="5" t="s">
        <v>25</v>
      </c>
    </row>
    <row r="200" spans="1:10" ht="12.75" x14ac:dyDescent="0.2">
      <c r="A200" s="5" t="s">
        <v>44</v>
      </c>
      <c r="B200" s="5">
        <v>2023</v>
      </c>
      <c r="C200" s="5">
        <v>451.28833329999998</v>
      </c>
      <c r="D200" s="5">
        <v>273</v>
      </c>
      <c r="E200" s="5">
        <v>48.391666669999999</v>
      </c>
      <c r="F200" s="5">
        <v>25.331666670000001</v>
      </c>
      <c r="G200" s="5">
        <v>27.932500000000001</v>
      </c>
      <c r="H200" s="5">
        <v>1603.4575</v>
      </c>
      <c r="I200" s="5">
        <v>2.9058333329999999</v>
      </c>
      <c r="J200" s="5" t="s">
        <v>16</v>
      </c>
    </row>
    <row r="201" spans="1:10" ht="12.75" x14ac:dyDescent="0.2">
      <c r="A201" s="5" t="s">
        <v>44</v>
      </c>
      <c r="B201" s="5">
        <v>2024</v>
      </c>
      <c r="C201" s="5">
        <v>479.7509091</v>
      </c>
      <c r="D201" s="5">
        <v>337.7518182</v>
      </c>
      <c r="E201" s="5">
        <v>42.76363636</v>
      </c>
      <c r="F201" s="5">
        <v>26.45818182</v>
      </c>
      <c r="G201" s="5">
        <v>22.647272730000001</v>
      </c>
      <c r="H201" s="5">
        <v>1391.921818</v>
      </c>
      <c r="I201" s="5">
        <v>2.1781818180000001</v>
      </c>
      <c r="J201" s="5" t="s">
        <v>25</v>
      </c>
    </row>
    <row r="202" spans="1:10" ht="12.75" x14ac:dyDescent="0.2">
      <c r="A202" s="5" t="s">
        <v>40</v>
      </c>
      <c r="B202" s="5">
        <v>2000</v>
      </c>
      <c r="C202" s="5">
        <v>423.4445455</v>
      </c>
      <c r="D202" s="5">
        <v>252.39454549999999</v>
      </c>
      <c r="E202" s="5">
        <v>55.174545449999997</v>
      </c>
      <c r="F202" s="5">
        <v>23.11818182</v>
      </c>
      <c r="G202" s="5">
        <v>23.12</v>
      </c>
      <c r="H202" s="5">
        <v>1519.429091</v>
      </c>
      <c r="I202" s="5">
        <v>1.8454545449999999</v>
      </c>
      <c r="J202" s="5" t="s">
        <v>16</v>
      </c>
    </row>
    <row r="203" spans="1:10" ht="12.75" x14ac:dyDescent="0.2">
      <c r="A203" s="5" t="s">
        <v>40</v>
      </c>
      <c r="B203" s="5">
        <v>2001</v>
      </c>
      <c r="C203" s="5">
        <v>424.18083330000002</v>
      </c>
      <c r="D203" s="5">
        <v>225.18416669999999</v>
      </c>
      <c r="E203" s="5">
        <v>51.206666669999997</v>
      </c>
      <c r="F203" s="5">
        <v>26.98833333</v>
      </c>
      <c r="G203" s="5">
        <v>22.422499999999999</v>
      </c>
      <c r="H203" s="5">
        <v>1029.774167</v>
      </c>
      <c r="I203" s="5">
        <v>2.27</v>
      </c>
      <c r="J203" s="5" t="s">
        <v>16</v>
      </c>
    </row>
    <row r="204" spans="1:10" ht="12.75" x14ac:dyDescent="0.2">
      <c r="A204" s="5" t="s">
        <v>40</v>
      </c>
      <c r="B204" s="5">
        <v>2002</v>
      </c>
      <c r="C204" s="5">
        <v>335.65272729999998</v>
      </c>
      <c r="D204" s="5">
        <v>297.66727270000001</v>
      </c>
      <c r="E204" s="5">
        <v>46.07</v>
      </c>
      <c r="F204" s="5">
        <v>24.108181819999999</v>
      </c>
      <c r="G204" s="5">
        <v>24.830909089999999</v>
      </c>
      <c r="H204" s="5">
        <v>1428.850909</v>
      </c>
      <c r="I204" s="5">
        <v>2.8609090909999999</v>
      </c>
      <c r="J204" s="5" t="s">
        <v>16</v>
      </c>
    </row>
    <row r="205" spans="1:10" ht="12.75" x14ac:dyDescent="0.2">
      <c r="A205" s="5" t="s">
        <v>40</v>
      </c>
      <c r="B205" s="5">
        <v>2003</v>
      </c>
      <c r="C205" s="5">
        <v>500.56833330000001</v>
      </c>
      <c r="D205" s="5">
        <v>261.53666670000001</v>
      </c>
      <c r="E205" s="5">
        <v>42.46</v>
      </c>
      <c r="F205" s="5">
        <v>29.234999999999999</v>
      </c>
      <c r="G205" s="5">
        <v>32.734999999999999</v>
      </c>
      <c r="H205" s="5">
        <v>1433.5716669999999</v>
      </c>
      <c r="I205" s="5">
        <v>2.673333333</v>
      </c>
      <c r="J205" s="5" t="s">
        <v>16</v>
      </c>
    </row>
    <row r="206" spans="1:10" ht="12.75" x14ac:dyDescent="0.2">
      <c r="A206" s="5" t="s">
        <v>40</v>
      </c>
      <c r="B206" s="5">
        <v>2004</v>
      </c>
      <c r="C206" s="5">
        <v>494.85857140000002</v>
      </c>
      <c r="D206" s="5">
        <v>301.0928571</v>
      </c>
      <c r="E206" s="5">
        <v>45.922857139999998</v>
      </c>
      <c r="F206" s="5">
        <v>31.557142859999999</v>
      </c>
      <c r="G206" s="5">
        <v>25.178571430000002</v>
      </c>
      <c r="H206" s="5">
        <v>1392.615714</v>
      </c>
      <c r="I206" s="5">
        <v>2.8857142859999998</v>
      </c>
      <c r="J206" s="5" t="s">
        <v>25</v>
      </c>
    </row>
    <row r="207" spans="1:10" ht="12.75" x14ac:dyDescent="0.2">
      <c r="A207" s="5" t="s">
        <v>40</v>
      </c>
      <c r="B207" s="5">
        <v>2005</v>
      </c>
      <c r="C207" s="5">
        <v>340.63142859999999</v>
      </c>
      <c r="D207" s="5">
        <v>190.95142860000001</v>
      </c>
      <c r="E207" s="5">
        <v>48.942857140000001</v>
      </c>
      <c r="F207" s="5">
        <v>25.148571430000001</v>
      </c>
      <c r="G207" s="5">
        <v>21.478571429999999</v>
      </c>
      <c r="H207" s="5">
        <v>1467.027143</v>
      </c>
      <c r="I207" s="5">
        <v>2.4842857139999999</v>
      </c>
      <c r="J207" s="5" t="s">
        <v>28</v>
      </c>
    </row>
    <row r="208" spans="1:10" ht="12.75" x14ac:dyDescent="0.2">
      <c r="A208" s="5" t="s">
        <v>40</v>
      </c>
      <c r="B208" s="5">
        <v>2006</v>
      </c>
      <c r="C208" s="5">
        <v>361.71249999999998</v>
      </c>
      <c r="D208" s="5">
        <v>302.77583329999999</v>
      </c>
      <c r="E208" s="5">
        <v>51.294166670000003</v>
      </c>
      <c r="F208" s="5">
        <v>32.152500000000003</v>
      </c>
      <c r="G208" s="5">
        <v>25.795000000000002</v>
      </c>
      <c r="H208" s="5">
        <v>1684.0775000000001</v>
      </c>
      <c r="I208" s="5">
        <v>2.2408333329999999</v>
      </c>
      <c r="J208" s="5" t="s">
        <v>25</v>
      </c>
    </row>
    <row r="209" spans="1:10" ht="12.75" x14ac:dyDescent="0.2">
      <c r="A209" s="5" t="s">
        <v>40</v>
      </c>
      <c r="B209" s="5">
        <v>2007</v>
      </c>
      <c r="C209" s="5">
        <v>437.59</v>
      </c>
      <c r="D209" s="5">
        <v>320.209</v>
      </c>
      <c r="E209" s="5">
        <v>53.372999999999998</v>
      </c>
      <c r="F209" s="5">
        <v>27.334</v>
      </c>
      <c r="G209" s="5">
        <v>21.352</v>
      </c>
      <c r="H209" s="5">
        <v>1263.136</v>
      </c>
      <c r="I209" s="5">
        <v>2.7029999999999998</v>
      </c>
      <c r="J209" s="5" t="s">
        <v>25</v>
      </c>
    </row>
    <row r="210" spans="1:10" ht="12.75" x14ac:dyDescent="0.2">
      <c r="A210" s="5" t="s">
        <v>40</v>
      </c>
      <c r="B210" s="5">
        <v>2008</v>
      </c>
      <c r="C210" s="5">
        <v>497.01714290000001</v>
      </c>
      <c r="D210" s="5">
        <v>172.44142859999999</v>
      </c>
      <c r="E210" s="5">
        <v>52.152857140000002</v>
      </c>
      <c r="F210" s="5">
        <v>29.284285709999999</v>
      </c>
      <c r="G210" s="5">
        <v>28.8</v>
      </c>
      <c r="H210" s="5">
        <v>1801.191429</v>
      </c>
      <c r="I210" s="5">
        <v>1.7157142860000001</v>
      </c>
      <c r="J210" s="5" t="s">
        <v>28</v>
      </c>
    </row>
    <row r="211" spans="1:10" ht="12.75" x14ac:dyDescent="0.2">
      <c r="A211" s="5" t="s">
        <v>40</v>
      </c>
      <c r="B211" s="5">
        <v>2009</v>
      </c>
      <c r="C211" s="5">
        <v>526.37199999999996</v>
      </c>
      <c r="D211" s="5">
        <v>302.21600000000001</v>
      </c>
      <c r="E211" s="5">
        <v>37.624000000000002</v>
      </c>
      <c r="F211" s="5">
        <v>35.816666669999996</v>
      </c>
      <c r="G211" s="5">
        <v>22.36333333</v>
      </c>
      <c r="H211" s="5">
        <v>1692.661333</v>
      </c>
      <c r="I211" s="5">
        <v>2.552666667</v>
      </c>
      <c r="J211" s="5" t="s">
        <v>25</v>
      </c>
    </row>
    <row r="212" spans="1:10" ht="12.75" x14ac:dyDescent="0.2">
      <c r="A212" s="5" t="s">
        <v>40</v>
      </c>
      <c r="B212" s="5">
        <v>2010</v>
      </c>
      <c r="C212" s="5">
        <v>394.0853846</v>
      </c>
      <c r="D212" s="5">
        <v>304.92846150000003</v>
      </c>
      <c r="E212" s="5">
        <v>52.38</v>
      </c>
      <c r="F212" s="5">
        <v>27.937692309999999</v>
      </c>
      <c r="G212" s="5">
        <v>24.420769230000001</v>
      </c>
      <c r="H212" s="5">
        <v>1642.2446150000001</v>
      </c>
      <c r="I212" s="5">
        <v>2.4138461539999998</v>
      </c>
      <c r="J212" s="5" t="s">
        <v>25</v>
      </c>
    </row>
    <row r="213" spans="1:10" ht="12.75" x14ac:dyDescent="0.2">
      <c r="A213" s="5" t="s">
        <v>40</v>
      </c>
      <c r="B213" s="5">
        <v>2011</v>
      </c>
      <c r="C213" s="5">
        <v>513.07000000000005</v>
      </c>
      <c r="D213" s="5">
        <v>272.75400000000002</v>
      </c>
      <c r="E213" s="5">
        <v>44.915999999999997</v>
      </c>
      <c r="F213" s="5">
        <v>29.192</v>
      </c>
      <c r="G213" s="5">
        <v>23.584</v>
      </c>
      <c r="H213" s="5">
        <v>905.27800000000002</v>
      </c>
      <c r="I213" s="5">
        <v>2.8460000000000001</v>
      </c>
      <c r="J213" s="5" t="s">
        <v>16</v>
      </c>
    </row>
    <row r="214" spans="1:10" ht="12.75" x14ac:dyDescent="0.2">
      <c r="A214" s="5" t="s">
        <v>40</v>
      </c>
      <c r="B214" s="5">
        <v>2012</v>
      </c>
      <c r="C214" s="5">
        <v>612.3836364</v>
      </c>
      <c r="D214" s="5">
        <v>215.1918182</v>
      </c>
      <c r="E214" s="5">
        <v>42.148181819999998</v>
      </c>
      <c r="F214" s="5">
        <v>20.18</v>
      </c>
      <c r="G214" s="5">
        <v>23.01454545</v>
      </c>
      <c r="H214" s="5">
        <v>1876.3054549999999</v>
      </c>
      <c r="I214" s="5">
        <v>2.367272727</v>
      </c>
      <c r="J214" s="5" t="s">
        <v>16</v>
      </c>
    </row>
    <row r="215" spans="1:10" ht="12.75" x14ac:dyDescent="0.2">
      <c r="A215" s="5" t="s">
        <v>40</v>
      </c>
      <c r="B215" s="5">
        <v>2013</v>
      </c>
      <c r="C215" s="5">
        <v>524.20500000000004</v>
      </c>
      <c r="D215" s="5">
        <v>254.66749999999999</v>
      </c>
      <c r="E215" s="5">
        <v>61.594999999999999</v>
      </c>
      <c r="F215" s="5">
        <v>22.84</v>
      </c>
      <c r="G215" s="5">
        <v>17.195</v>
      </c>
      <c r="H215" s="5">
        <v>2360.0749999999998</v>
      </c>
      <c r="I215" s="5">
        <v>3.8925000000000001</v>
      </c>
      <c r="J215" s="5" t="s">
        <v>16</v>
      </c>
    </row>
    <row r="216" spans="1:10" ht="12.75" x14ac:dyDescent="0.2">
      <c r="A216" s="5" t="s">
        <v>40</v>
      </c>
      <c r="B216" s="5">
        <v>2014</v>
      </c>
      <c r="C216" s="5">
        <v>398.72666670000001</v>
      </c>
      <c r="D216" s="5">
        <v>336.80083330000002</v>
      </c>
      <c r="E216" s="5">
        <v>54.001666669999999</v>
      </c>
      <c r="F216" s="5">
        <v>22.195</v>
      </c>
      <c r="G216" s="5">
        <v>19.96083333</v>
      </c>
      <c r="H216" s="5">
        <v>1911.3125</v>
      </c>
      <c r="I216" s="5">
        <v>2.6791666670000001</v>
      </c>
      <c r="J216" s="5" t="s">
        <v>25</v>
      </c>
    </row>
    <row r="217" spans="1:10" ht="12.75" x14ac:dyDescent="0.2">
      <c r="A217" s="5" t="s">
        <v>40</v>
      </c>
      <c r="B217" s="5">
        <v>2015</v>
      </c>
      <c r="C217" s="5">
        <v>501.6763636</v>
      </c>
      <c r="D217" s="5">
        <v>220.62181820000001</v>
      </c>
      <c r="E217" s="5">
        <v>44.811818180000003</v>
      </c>
      <c r="F217" s="5">
        <v>27.185454549999999</v>
      </c>
      <c r="G217" s="5">
        <v>20.43818182</v>
      </c>
      <c r="H217" s="5">
        <v>1632.34</v>
      </c>
      <c r="I217" s="5">
        <v>3.057272727</v>
      </c>
      <c r="J217" s="5" t="s">
        <v>16</v>
      </c>
    </row>
    <row r="218" spans="1:10" ht="12.75" x14ac:dyDescent="0.2">
      <c r="A218" s="5" t="s">
        <v>40</v>
      </c>
      <c r="B218" s="5">
        <v>2016</v>
      </c>
      <c r="C218" s="5">
        <v>648.61285710000004</v>
      </c>
      <c r="D218" s="5">
        <v>278.62714290000002</v>
      </c>
      <c r="E218" s="5">
        <v>50.79</v>
      </c>
      <c r="F218" s="5">
        <v>23.614285710000001</v>
      </c>
      <c r="G218" s="5">
        <v>17.922857140000001</v>
      </c>
      <c r="H218" s="5">
        <v>1720.858571</v>
      </c>
      <c r="I218" s="5">
        <v>2.3457142860000002</v>
      </c>
      <c r="J218" s="5" t="s">
        <v>16</v>
      </c>
    </row>
    <row r="219" spans="1:10" ht="12.75" x14ac:dyDescent="0.2">
      <c r="A219" s="5" t="s">
        <v>40</v>
      </c>
      <c r="B219" s="5">
        <v>2017</v>
      </c>
      <c r="C219" s="5">
        <v>719.68285709999998</v>
      </c>
      <c r="D219" s="5">
        <v>255.63571429999999</v>
      </c>
      <c r="E219" s="5">
        <v>57</v>
      </c>
      <c r="F219" s="5">
        <v>24.55285714</v>
      </c>
      <c r="G219" s="5">
        <v>21.018571430000001</v>
      </c>
      <c r="H219" s="5">
        <v>1321.2957140000001</v>
      </c>
      <c r="I219" s="5">
        <v>1.97</v>
      </c>
      <c r="J219" s="5" t="s">
        <v>16</v>
      </c>
    </row>
    <row r="220" spans="1:10" ht="12.75" x14ac:dyDescent="0.2">
      <c r="A220" s="5" t="s">
        <v>40</v>
      </c>
      <c r="B220" s="5">
        <v>2018</v>
      </c>
      <c r="C220" s="5">
        <v>439.709</v>
      </c>
      <c r="D220" s="5">
        <v>252.51599999999999</v>
      </c>
      <c r="E220" s="5">
        <v>48.88</v>
      </c>
      <c r="F220" s="5">
        <v>31.032</v>
      </c>
      <c r="G220" s="5">
        <v>27.669</v>
      </c>
      <c r="H220" s="5">
        <v>1275.087</v>
      </c>
      <c r="I220" s="5">
        <v>2.2349999999999999</v>
      </c>
      <c r="J220" s="5" t="s">
        <v>16</v>
      </c>
    </row>
    <row r="221" spans="1:10" ht="12.75" x14ac:dyDescent="0.2">
      <c r="A221" s="5" t="s">
        <v>40</v>
      </c>
      <c r="B221" s="5">
        <v>2019</v>
      </c>
      <c r="C221" s="5">
        <v>413.00727269999999</v>
      </c>
      <c r="D221" s="5">
        <v>203.09272730000001</v>
      </c>
      <c r="E221" s="5">
        <v>49.468181819999998</v>
      </c>
      <c r="F221" s="5">
        <v>28.998181819999999</v>
      </c>
      <c r="G221" s="5">
        <v>25.380909089999999</v>
      </c>
      <c r="H221" s="5">
        <v>1795.6145449999999</v>
      </c>
      <c r="I221" s="5">
        <v>2.7345454550000001</v>
      </c>
      <c r="J221" s="5" t="s">
        <v>16</v>
      </c>
    </row>
    <row r="222" spans="1:10" ht="12.75" x14ac:dyDescent="0.2">
      <c r="A222" s="5" t="s">
        <v>40</v>
      </c>
      <c r="B222" s="5">
        <v>2020</v>
      </c>
      <c r="C222" s="5">
        <v>558.59875</v>
      </c>
      <c r="D222" s="5">
        <v>288.02999999999997</v>
      </c>
      <c r="E222" s="5">
        <v>42.734999999999999</v>
      </c>
      <c r="F222" s="5">
        <v>21.866250000000001</v>
      </c>
      <c r="G222" s="5">
        <v>25.217500000000001</v>
      </c>
      <c r="H222" s="5">
        <v>1081.8</v>
      </c>
      <c r="I222" s="5">
        <v>2.4775</v>
      </c>
      <c r="J222" s="5" t="s">
        <v>16</v>
      </c>
    </row>
    <row r="223" spans="1:10" ht="12.75" x14ac:dyDescent="0.2">
      <c r="A223" s="5" t="s">
        <v>40</v>
      </c>
      <c r="B223" s="5">
        <v>2021</v>
      </c>
      <c r="C223" s="5">
        <v>463.88666669999998</v>
      </c>
      <c r="D223" s="5">
        <v>277.4533333</v>
      </c>
      <c r="E223" s="5">
        <v>54.28</v>
      </c>
      <c r="F223" s="5">
        <v>26.783333330000001</v>
      </c>
      <c r="G223" s="5">
        <v>13.668333329999999</v>
      </c>
      <c r="H223" s="5">
        <v>1869.676667</v>
      </c>
      <c r="I223" s="5">
        <v>2.2999999999999998</v>
      </c>
      <c r="J223" s="5" t="s">
        <v>16</v>
      </c>
    </row>
    <row r="224" spans="1:10" ht="12.75" x14ac:dyDescent="0.2">
      <c r="A224" s="5" t="s">
        <v>40</v>
      </c>
      <c r="B224" s="5">
        <v>2022</v>
      </c>
      <c r="C224" s="5">
        <v>622.54357140000002</v>
      </c>
      <c r="D224" s="5">
        <v>247.82071429999999</v>
      </c>
      <c r="E224" s="5">
        <v>53.534285709999999</v>
      </c>
      <c r="F224" s="5">
        <v>28.621428569999999</v>
      </c>
      <c r="G224" s="5">
        <v>25.91571429</v>
      </c>
      <c r="H224" s="5">
        <v>1504.516429</v>
      </c>
      <c r="I224" s="5">
        <v>2.1628571430000001</v>
      </c>
      <c r="J224" s="5" t="s">
        <v>16</v>
      </c>
    </row>
    <row r="225" spans="1:10" ht="12.75" x14ac:dyDescent="0.2">
      <c r="A225" s="5" t="s">
        <v>40</v>
      </c>
      <c r="B225" s="5">
        <v>2023</v>
      </c>
      <c r="C225" s="5">
        <v>559.20500000000004</v>
      </c>
      <c r="D225" s="5">
        <v>237.04750000000001</v>
      </c>
      <c r="E225" s="5">
        <v>53.073333329999997</v>
      </c>
      <c r="F225" s="5">
        <v>28.7225</v>
      </c>
      <c r="G225" s="5">
        <v>21.2775</v>
      </c>
      <c r="H225" s="5">
        <v>1566.6258330000001</v>
      </c>
      <c r="I225" s="5">
        <v>3.3258333329999998</v>
      </c>
      <c r="J225" s="5" t="s">
        <v>16</v>
      </c>
    </row>
    <row r="226" spans="1:10" ht="12.75" x14ac:dyDescent="0.2">
      <c r="A226" s="5" t="s">
        <v>40</v>
      </c>
      <c r="B226" s="5">
        <v>2024</v>
      </c>
      <c r="C226" s="5">
        <v>439.84636360000002</v>
      </c>
      <c r="D226" s="5">
        <v>366.26727269999998</v>
      </c>
      <c r="E226" s="5">
        <v>43.771818179999997</v>
      </c>
      <c r="F226" s="5">
        <v>22.86181818</v>
      </c>
      <c r="G226" s="5">
        <v>26.39</v>
      </c>
      <c r="H226" s="5">
        <v>1730.264545</v>
      </c>
      <c r="I226" s="5">
        <v>2.250909091</v>
      </c>
      <c r="J226" s="5" t="s">
        <v>25</v>
      </c>
    </row>
    <row r="227" spans="1:10" ht="12.75" x14ac:dyDescent="0.2">
      <c r="A227" s="5" t="s">
        <v>47</v>
      </c>
      <c r="B227" s="5">
        <v>2000</v>
      </c>
      <c r="C227" s="5">
        <v>365.11833330000002</v>
      </c>
      <c r="D227" s="5">
        <v>398.7416667</v>
      </c>
      <c r="E227" s="5">
        <v>42.66333333</v>
      </c>
      <c r="F227" s="5">
        <v>22.914999999999999</v>
      </c>
      <c r="G227" s="5">
        <v>25.855</v>
      </c>
      <c r="H227" s="5">
        <v>1648.9449999999999</v>
      </c>
      <c r="I227" s="5">
        <v>2.4333333330000002</v>
      </c>
      <c r="J227" s="5" t="s">
        <v>25</v>
      </c>
    </row>
    <row r="228" spans="1:10" ht="12.75" x14ac:dyDescent="0.2">
      <c r="A228" s="5" t="s">
        <v>47</v>
      </c>
      <c r="B228" s="5">
        <v>2001</v>
      </c>
      <c r="C228" s="5">
        <v>668.27800000000002</v>
      </c>
      <c r="D228" s="5">
        <v>238.97399999999999</v>
      </c>
      <c r="E228" s="5">
        <v>55.973999999999997</v>
      </c>
      <c r="F228" s="5">
        <v>21.93</v>
      </c>
      <c r="G228" s="5">
        <v>24.856000000000002</v>
      </c>
      <c r="H228" s="5">
        <v>978.38599999999997</v>
      </c>
      <c r="I228" s="5">
        <v>2.61</v>
      </c>
      <c r="J228" s="5" t="s">
        <v>16</v>
      </c>
    </row>
    <row r="229" spans="1:10" ht="12.75" x14ac:dyDescent="0.2">
      <c r="A229" s="5" t="s">
        <v>47</v>
      </c>
      <c r="B229" s="5">
        <v>2002</v>
      </c>
      <c r="C229" s="5">
        <v>613.63142860000005</v>
      </c>
      <c r="D229" s="5">
        <v>285.0871429</v>
      </c>
      <c r="E229" s="5">
        <v>44.407857139999997</v>
      </c>
      <c r="F229" s="5">
        <v>28.24</v>
      </c>
      <c r="G229" s="5">
        <v>24.73285714</v>
      </c>
      <c r="H229" s="5">
        <v>1849.2757140000001</v>
      </c>
      <c r="I229" s="5">
        <v>1.9428571429999999</v>
      </c>
      <c r="J229" s="5" t="s">
        <v>16</v>
      </c>
    </row>
    <row r="230" spans="1:10" ht="12.75" x14ac:dyDescent="0.2">
      <c r="A230" s="5" t="s">
        <v>47</v>
      </c>
      <c r="B230" s="5">
        <v>2003</v>
      </c>
      <c r="C230" s="5">
        <v>446.74900000000002</v>
      </c>
      <c r="D230" s="5">
        <v>250.30199999999999</v>
      </c>
      <c r="E230" s="5">
        <v>51.774999999999999</v>
      </c>
      <c r="F230" s="5">
        <v>23.841000000000001</v>
      </c>
      <c r="G230" s="5">
        <v>19.902999999999999</v>
      </c>
      <c r="H230" s="5">
        <v>1396.319</v>
      </c>
      <c r="I230" s="5">
        <v>1.931</v>
      </c>
      <c r="J230" s="5" t="s">
        <v>16</v>
      </c>
    </row>
    <row r="231" spans="1:10" ht="12.75" x14ac:dyDescent="0.2">
      <c r="A231" s="5" t="s">
        <v>47</v>
      </c>
      <c r="B231" s="5">
        <v>2004</v>
      </c>
      <c r="C231" s="5">
        <v>604.73444440000003</v>
      </c>
      <c r="D231" s="5">
        <v>124.6977778</v>
      </c>
      <c r="E231" s="5">
        <v>46.646666670000002</v>
      </c>
      <c r="F231" s="5">
        <v>34.081111110000002</v>
      </c>
      <c r="G231" s="5">
        <v>26.06</v>
      </c>
      <c r="H231" s="5">
        <v>1317.36</v>
      </c>
      <c r="I231" s="5">
        <v>2.8955555560000001</v>
      </c>
      <c r="J231" s="5" t="s">
        <v>28</v>
      </c>
    </row>
    <row r="232" spans="1:10" ht="12.75" x14ac:dyDescent="0.2">
      <c r="A232" s="5" t="s">
        <v>47</v>
      </c>
      <c r="B232" s="5">
        <v>2005</v>
      </c>
      <c r="C232" s="5">
        <v>482.91307690000002</v>
      </c>
      <c r="D232" s="5">
        <v>270.80769229999999</v>
      </c>
      <c r="E232" s="5">
        <v>55.452307689999998</v>
      </c>
      <c r="F232" s="5">
        <v>37.818461540000001</v>
      </c>
      <c r="G232" s="5">
        <v>26.71769231</v>
      </c>
      <c r="H232" s="5">
        <v>1916.1430769999999</v>
      </c>
      <c r="I232" s="5">
        <v>2.9353846149999998</v>
      </c>
      <c r="J232" s="5" t="s">
        <v>16</v>
      </c>
    </row>
    <row r="233" spans="1:10" ht="12.75" x14ac:dyDescent="0.2">
      <c r="A233" s="5" t="s">
        <v>47</v>
      </c>
      <c r="B233" s="5">
        <v>2006</v>
      </c>
      <c r="C233" s="5">
        <v>383.60500000000002</v>
      </c>
      <c r="D233" s="5">
        <v>224.13249999999999</v>
      </c>
      <c r="E233" s="5">
        <v>52.29</v>
      </c>
      <c r="F233" s="5">
        <v>37.225000000000001</v>
      </c>
      <c r="G233" s="5">
        <v>24.61375</v>
      </c>
      <c r="H233" s="5">
        <v>1487.0574999999999</v>
      </c>
      <c r="I233" s="5">
        <v>2.4975000000000001</v>
      </c>
      <c r="J233" s="5" t="s">
        <v>16</v>
      </c>
    </row>
    <row r="234" spans="1:10" ht="12.75" x14ac:dyDescent="0.2">
      <c r="A234" s="5" t="s">
        <v>47</v>
      </c>
      <c r="B234" s="5">
        <v>2007</v>
      </c>
      <c r="C234" s="5">
        <v>646.31818180000005</v>
      </c>
      <c r="D234" s="5">
        <v>250.3845455</v>
      </c>
      <c r="E234" s="5">
        <v>43.586363640000002</v>
      </c>
      <c r="F234" s="5">
        <v>25.74909091</v>
      </c>
      <c r="G234" s="5">
        <v>30.044545450000001</v>
      </c>
      <c r="H234" s="5">
        <v>1695.921818</v>
      </c>
      <c r="I234" s="5">
        <v>2.6609090910000002</v>
      </c>
      <c r="J234" s="5" t="s">
        <v>16</v>
      </c>
    </row>
    <row r="235" spans="1:10" ht="12.75" x14ac:dyDescent="0.2">
      <c r="A235" s="5" t="s">
        <v>47</v>
      </c>
      <c r="B235" s="5">
        <v>2008</v>
      </c>
      <c r="C235" s="5">
        <v>476.84384619999997</v>
      </c>
      <c r="D235" s="5">
        <v>357.86692310000001</v>
      </c>
      <c r="E235" s="5">
        <v>45.556153850000001</v>
      </c>
      <c r="F235" s="5">
        <v>31.190769230000001</v>
      </c>
      <c r="G235" s="5">
        <v>23.78</v>
      </c>
      <c r="H235" s="5">
        <v>1389.6830769999999</v>
      </c>
      <c r="I235" s="5">
        <v>2.9546153849999999</v>
      </c>
      <c r="J235" s="5" t="s">
        <v>25</v>
      </c>
    </row>
    <row r="236" spans="1:10" ht="12.75" x14ac:dyDescent="0.2">
      <c r="A236" s="5" t="s">
        <v>47</v>
      </c>
      <c r="B236" s="5">
        <v>2009</v>
      </c>
      <c r="C236" s="5">
        <v>417.70909089999998</v>
      </c>
      <c r="D236" s="5">
        <v>280.41272729999997</v>
      </c>
      <c r="E236" s="5">
        <v>47.056363640000001</v>
      </c>
      <c r="F236" s="5">
        <v>28.00545455</v>
      </c>
      <c r="G236" s="5">
        <v>23.357272729999998</v>
      </c>
      <c r="H236" s="5">
        <v>1162.7081820000001</v>
      </c>
      <c r="I236" s="5">
        <v>1.9272727270000001</v>
      </c>
      <c r="J236" s="5" t="s">
        <v>16</v>
      </c>
    </row>
    <row r="237" spans="1:10" ht="12.75" x14ac:dyDescent="0.2">
      <c r="A237" s="5" t="s">
        <v>47</v>
      </c>
      <c r="B237" s="5">
        <v>2010</v>
      </c>
      <c r="C237" s="5">
        <v>631.625</v>
      </c>
      <c r="D237" s="5">
        <v>368.79</v>
      </c>
      <c r="E237" s="5">
        <v>53.954285710000001</v>
      </c>
      <c r="F237" s="5">
        <v>28.38357143</v>
      </c>
      <c r="G237" s="5">
        <v>28.014285709999999</v>
      </c>
      <c r="H237" s="5">
        <v>1575.729286</v>
      </c>
      <c r="I237" s="5">
        <v>2.7678571430000001</v>
      </c>
      <c r="J237" s="5" t="s">
        <v>25</v>
      </c>
    </row>
    <row r="238" spans="1:10" ht="12.75" x14ac:dyDescent="0.2">
      <c r="A238" s="5" t="s">
        <v>47</v>
      </c>
      <c r="B238" s="5">
        <v>2011</v>
      </c>
      <c r="C238" s="5">
        <v>482.02222219999999</v>
      </c>
      <c r="D238" s="5">
        <v>234.09777779999999</v>
      </c>
      <c r="E238" s="5">
        <v>50.205555560000001</v>
      </c>
      <c r="F238" s="5">
        <v>29.924444439999998</v>
      </c>
      <c r="G238" s="5">
        <v>25.866666670000001</v>
      </c>
      <c r="H238" s="5">
        <v>1319.646667</v>
      </c>
      <c r="I238" s="5">
        <v>3.0355555559999998</v>
      </c>
      <c r="J238" s="5" t="s">
        <v>16</v>
      </c>
    </row>
    <row r="239" spans="1:10" ht="12.75" x14ac:dyDescent="0.2">
      <c r="A239" s="5" t="s">
        <v>47</v>
      </c>
      <c r="B239" s="5">
        <v>2012</v>
      </c>
      <c r="C239" s="5">
        <v>574.14272730000005</v>
      </c>
      <c r="D239" s="5">
        <v>260.32909089999998</v>
      </c>
      <c r="E239" s="5">
        <v>50.85</v>
      </c>
      <c r="F239" s="5">
        <v>30.398181820000001</v>
      </c>
      <c r="G239" s="5">
        <v>24.06909091</v>
      </c>
      <c r="H239" s="5">
        <v>1862.157273</v>
      </c>
      <c r="I239" s="5">
        <v>1.685454545</v>
      </c>
      <c r="J239" s="5" t="s">
        <v>16</v>
      </c>
    </row>
    <row r="240" spans="1:10" ht="12.75" x14ac:dyDescent="0.2">
      <c r="A240" s="5" t="s">
        <v>47</v>
      </c>
      <c r="B240" s="5">
        <v>2013</v>
      </c>
      <c r="C240" s="5">
        <v>549.90636359999996</v>
      </c>
      <c r="D240" s="5">
        <v>274.97909090000002</v>
      </c>
      <c r="E240" s="5">
        <v>52.976363640000002</v>
      </c>
      <c r="F240" s="5">
        <v>19.64545455</v>
      </c>
      <c r="G240" s="5">
        <v>25.163636360000002</v>
      </c>
      <c r="H240" s="5">
        <v>1063.2127270000001</v>
      </c>
      <c r="I240" s="5">
        <v>1.7636363639999999</v>
      </c>
      <c r="J240" s="5" t="s">
        <v>16</v>
      </c>
    </row>
    <row r="241" spans="1:10" ht="12.75" x14ac:dyDescent="0.2">
      <c r="A241" s="5" t="s">
        <v>47</v>
      </c>
      <c r="B241" s="5">
        <v>2014</v>
      </c>
      <c r="C241" s="5">
        <v>453.47666670000001</v>
      </c>
      <c r="D241" s="5">
        <v>300.0493333</v>
      </c>
      <c r="E241" s="5">
        <v>50.884</v>
      </c>
      <c r="F241" s="5">
        <v>23.467333329999999</v>
      </c>
      <c r="G241" s="5">
        <v>25.620666669999999</v>
      </c>
      <c r="H241" s="5">
        <v>2214.6686669999999</v>
      </c>
      <c r="I241" s="5">
        <v>2.1286666670000001</v>
      </c>
      <c r="J241" s="5" t="s">
        <v>25</v>
      </c>
    </row>
    <row r="242" spans="1:10" ht="12.75" x14ac:dyDescent="0.2">
      <c r="A242" s="5" t="s">
        <v>47</v>
      </c>
      <c r="B242" s="5">
        <v>2015</v>
      </c>
      <c r="C242" s="5">
        <v>493.0144444</v>
      </c>
      <c r="D242" s="5">
        <v>298.22111109999997</v>
      </c>
      <c r="E242" s="5">
        <v>55.563333329999999</v>
      </c>
      <c r="F242" s="5">
        <v>26.52333333</v>
      </c>
      <c r="G242" s="5">
        <v>26.713333330000001</v>
      </c>
      <c r="H242" s="5">
        <v>1550.2533330000001</v>
      </c>
      <c r="I242" s="5">
        <v>2.7911111110000002</v>
      </c>
      <c r="J242" s="5" t="s">
        <v>16</v>
      </c>
    </row>
    <row r="243" spans="1:10" ht="12.75" x14ac:dyDescent="0.2">
      <c r="A243" s="5" t="s">
        <v>47</v>
      </c>
      <c r="B243" s="5">
        <v>2016</v>
      </c>
      <c r="C243" s="5">
        <v>602.21</v>
      </c>
      <c r="D243" s="5">
        <v>262.58777780000003</v>
      </c>
      <c r="E243" s="5">
        <v>45.87</v>
      </c>
      <c r="F243" s="5">
        <v>31.447777779999999</v>
      </c>
      <c r="G243" s="5">
        <v>25.356666669999999</v>
      </c>
      <c r="H243" s="5">
        <v>1379.187778</v>
      </c>
      <c r="I243" s="5">
        <v>3.2922222219999999</v>
      </c>
      <c r="J243" s="5" t="s">
        <v>16</v>
      </c>
    </row>
    <row r="244" spans="1:10" ht="12.75" x14ac:dyDescent="0.2">
      <c r="A244" s="5" t="s">
        <v>47</v>
      </c>
      <c r="B244" s="5">
        <v>2017</v>
      </c>
      <c r="C244" s="5">
        <v>433.6275</v>
      </c>
      <c r="D244" s="5">
        <v>309.35750000000002</v>
      </c>
      <c r="E244" s="5">
        <v>43.678750000000001</v>
      </c>
      <c r="F244" s="5">
        <v>28.216249999999999</v>
      </c>
      <c r="G244" s="5">
        <v>24.945</v>
      </c>
      <c r="H244" s="5">
        <v>1831.33125</v>
      </c>
      <c r="I244" s="5">
        <v>3.4550000000000001</v>
      </c>
      <c r="J244" s="5" t="s">
        <v>25</v>
      </c>
    </row>
    <row r="245" spans="1:10" ht="12.75" x14ac:dyDescent="0.2">
      <c r="A245" s="5" t="s">
        <v>47</v>
      </c>
      <c r="B245" s="5">
        <v>2018</v>
      </c>
      <c r="C245" s="5">
        <v>488.01285710000002</v>
      </c>
      <c r="D245" s="5">
        <v>282.95571430000001</v>
      </c>
      <c r="E245" s="5">
        <v>51.951428569999997</v>
      </c>
      <c r="F245" s="5">
        <v>31.781428569999999</v>
      </c>
      <c r="G245" s="5">
        <v>23.84857143</v>
      </c>
      <c r="H245" s="5">
        <v>1590.2414289999999</v>
      </c>
      <c r="I245" s="5">
        <v>2.5471428569999999</v>
      </c>
      <c r="J245" s="5" t="s">
        <v>16</v>
      </c>
    </row>
    <row r="246" spans="1:10" ht="12.75" x14ac:dyDescent="0.2">
      <c r="A246" s="5" t="s">
        <v>47</v>
      </c>
      <c r="B246" s="5">
        <v>2019</v>
      </c>
      <c r="C246" s="5">
        <v>586.18499999999995</v>
      </c>
      <c r="D246" s="5">
        <v>373.99666669999999</v>
      </c>
      <c r="E246" s="5">
        <v>48.89</v>
      </c>
      <c r="F246" s="5">
        <v>23.715833329999999</v>
      </c>
      <c r="G246" s="5">
        <v>21.662500000000001</v>
      </c>
      <c r="H246" s="5">
        <v>1670.7858329999999</v>
      </c>
      <c r="I246" s="5">
        <v>2.5416666669999999</v>
      </c>
      <c r="J246" s="5" t="s">
        <v>25</v>
      </c>
    </row>
    <row r="247" spans="1:10" ht="12.75" x14ac:dyDescent="0.2">
      <c r="A247" s="5" t="s">
        <v>47</v>
      </c>
      <c r="B247" s="5">
        <v>2020</v>
      </c>
      <c r="C247" s="5">
        <v>299.43428569999998</v>
      </c>
      <c r="D247" s="5">
        <v>313.2171429</v>
      </c>
      <c r="E247" s="5">
        <v>57.964285709999999</v>
      </c>
      <c r="F247" s="5">
        <v>29.402857139999998</v>
      </c>
      <c r="G247" s="5">
        <v>25.248571429999998</v>
      </c>
      <c r="H247" s="5">
        <v>977.39571430000001</v>
      </c>
      <c r="I247" s="5">
        <v>1.7414285709999999</v>
      </c>
      <c r="J247" s="5" t="s">
        <v>25</v>
      </c>
    </row>
    <row r="248" spans="1:10" ht="12.75" x14ac:dyDescent="0.2">
      <c r="A248" s="5" t="s">
        <v>47</v>
      </c>
      <c r="B248" s="5">
        <v>2021</v>
      </c>
      <c r="C248" s="5">
        <v>417.9846154</v>
      </c>
      <c r="D248" s="5">
        <v>293.05538460000002</v>
      </c>
      <c r="E248" s="5">
        <v>48.103076919999999</v>
      </c>
      <c r="F248" s="5">
        <v>31.926153849999999</v>
      </c>
      <c r="G248" s="5">
        <v>19.651538460000001</v>
      </c>
      <c r="H248" s="5">
        <v>1756.885385</v>
      </c>
      <c r="I248" s="5">
        <v>2.2207692309999998</v>
      </c>
      <c r="J248" s="5" t="s">
        <v>16</v>
      </c>
    </row>
    <row r="249" spans="1:10" ht="12.75" x14ac:dyDescent="0.2">
      <c r="A249" s="5" t="s">
        <v>47</v>
      </c>
      <c r="B249" s="5">
        <v>2022</v>
      </c>
      <c r="C249" s="5">
        <v>473.964</v>
      </c>
      <c r="D249" s="5">
        <v>264.601</v>
      </c>
      <c r="E249" s="5">
        <v>51.204999999999998</v>
      </c>
      <c r="F249" s="5">
        <v>32.021000000000001</v>
      </c>
      <c r="G249" s="5">
        <v>23.228000000000002</v>
      </c>
      <c r="H249" s="5">
        <v>1585.308</v>
      </c>
      <c r="I249" s="5">
        <v>2.512</v>
      </c>
      <c r="J249" s="5" t="s">
        <v>16</v>
      </c>
    </row>
    <row r="250" spans="1:10" ht="12.75" x14ac:dyDescent="0.2">
      <c r="A250" s="5" t="s">
        <v>47</v>
      </c>
      <c r="B250" s="5">
        <v>2023</v>
      </c>
      <c r="C250" s="5">
        <v>438.42399999999998</v>
      </c>
      <c r="D250" s="5">
        <v>264.43200000000002</v>
      </c>
      <c r="E250" s="5">
        <v>50.878</v>
      </c>
      <c r="F250" s="5">
        <v>18.286000000000001</v>
      </c>
      <c r="G250" s="5">
        <v>30.731000000000002</v>
      </c>
      <c r="H250" s="5">
        <v>1880.0540000000001</v>
      </c>
      <c r="I250" s="5">
        <v>2.2189999999999999</v>
      </c>
      <c r="J250" s="5" t="s">
        <v>16</v>
      </c>
    </row>
    <row r="251" spans="1:10" ht="12.75" x14ac:dyDescent="0.2">
      <c r="A251" s="5" t="s">
        <v>47</v>
      </c>
      <c r="B251" s="5">
        <v>2024</v>
      </c>
      <c r="C251" s="5">
        <v>419.70142859999999</v>
      </c>
      <c r="D251" s="5">
        <v>322.83</v>
      </c>
      <c r="E251" s="5">
        <v>42.855714290000002</v>
      </c>
      <c r="F251" s="5">
        <v>25.835714289999999</v>
      </c>
      <c r="G251" s="5">
        <v>22.138571429999999</v>
      </c>
      <c r="H251" s="5">
        <v>1516.604286</v>
      </c>
      <c r="I251" s="5">
        <v>2.4257142859999998</v>
      </c>
      <c r="J251" s="5" t="s">
        <v>25</v>
      </c>
    </row>
    <row r="252" spans="1:10" ht="12.75" x14ac:dyDescent="0.2">
      <c r="A252" s="5" t="s">
        <v>62</v>
      </c>
      <c r="B252" s="5">
        <v>2000</v>
      </c>
      <c r="C252" s="5">
        <v>605.25666669999998</v>
      </c>
      <c r="D252" s="5">
        <v>282.85833330000003</v>
      </c>
      <c r="E252" s="5">
        <v>50.405000000000001</v>
      </c>
      <c r="F252" s="5">
        <v>26.696666669999999</v>
      </c>
      <c r="G252" s="5">
        <v>25.071666669999999</v>
      </c>
      <c r="H252" s="5">
        <v>2079.768333</v>
      </c>
      <c r="I252" s="5">
        <v>3.8849999999999998</v>
      </c>
      <c r="J252" s="5" t="s">
        <v>16</v>
      </c>
    </row>
    <row r="253" spans="1:10" ht="12.75" x14ac:dyDescent="0.2">
      <c r="A253" s="5" t="s">
        <v>62</v>
      </c>
      <c r="B253" s="5">
        <v>2001</v>
      </c>
      <c r="C253" s="5">
        <v>549.42700000000002</v>
      </c>
      <c r="D253" s="5">
        <v>293.66199999999998</v>
      </c>
      <c r="E253" s="5">
        <v>51.609000000000002</v>
      </c>
      <c r="F253" s="5">
        <v>31.295999999999999</v>
      </c>
      <c r="G253" s="5">
        <v>25.998999999999999</v>
      </c>
      <c r="H253" s="5">
        <v>1716.702</v>
      </c>
      <c r="I253" s="5">
        <v>2.4700000000000002</v>
      </c>
      <c r="J253" s="5" t="s">
        <v>16</v>
      </c>
    </row>
    <row r="254" spans="1:10" ht="12.75" x14ac:dyDescent="0.2">
      <c r="A254" s="5" t="s">
        <v>62</v>
      </c>
      <c r="B254" s="5">
        <v>2002</v>
      </c>
      <c r="C254" s="5">
        <v>499.05833330000002</v>
      </c>
      <c r="D254" s="5">
        <v>244.62916670000001</v>
      </c>
      <c r="E254" s="5">
        <v>50.7425</v>
      </c>
      <c r="F254" s="5">
        <v>28.01</v>
      </c>
      <c r="G254" s="5">
        <v>21.96166667</v>
      </c>
      <c r="H254" s="5">
        <v>1308.2033329999999</v>
      </c>
      <c r="I254" s="5">
        <v>2.1366666670000001</v>
      </c>
      <c r="J254" s="5" t="s">
        <v>16</v>
      </c>
    </row>
    <row r="255" spans="1:10" ht="12.75" x14ac:dyDescent="0.2">
      <c r="A255" s="5" t="s">
        <v>62</v>
      </c>
      <c r="B255" s="5">
        <v>2003</v>
      </c>
      <c r="C255" s="5">
        <v>560.35599999999999</v>
      </c>
      <c r="D255" s="5">
        <v>262.80466669999998</v>
      </c>
      <c r="E255" s="5">
        <v>46.018000000000001</v>
      </c>
      <c r="F255" s="5">
        <v>31.832666669999998</v>
      </c>
      <c r="G255" s="5">
        <v>23.173999999999999</v>
      </c>
      <c r="H255" s="5">
        <v>1422.6526670000001</v>
      </c>
      <c r="I255" s="5">
        <v>2.3380000000000001</v>
      </c>
      <c r="J255" s="5" t="s">
        <v>16</v>
      </c>
    </row>
    <row r="256" spans="1:10" ht="12.75" x14ac:dyDescent="0.2">
      <c r="A256" s="5" t="s">
        <v>62</v>
      </c>
      <c r="B256" s="5">
        <v>2004</v>
      </c>
      <c r="C256" s="5">
        <v>437.505</v>
      </c>
      <c r="D256" s="5">
        <v>248.04166670000001</v>
      </c>
      <c r="E256" s="5">
        <v>56.608333330000001</v>
      </c>
      <c r="F256" s="5">
        <v>32.178333330000001</v>
      </c>
      <c r="G256" s="5">
        <v>24.783333330000001</v>
      </c>
      <c r="H256" s="5">
        <v>1580.083333</v>
      </c>
      <c r="I256" s="5">
        <v>2.1183333329999998</v>
      </c>
      <c r="J256" s="5" t="s">
        <v>16</v>
      </c>
    </row>
    <row r="257" spans="1:10" ht="12.75" x14ac:dyDescent="0.2">
      <c r="A257" s="5" t="s">
        <v>62</v>
      </c>
      <c r="B257" s="5">
        <v>2005</v>
      </c>
      <c r="C257" s="5">
        <v>456.06</v>
      </c>
      <c r="D257" s="5">
        <v>360.43166669999999</v>
      </c>
      <c r="E257" s="5">
        <v>28.905000000000001</v>
      </c>
      <c r="F257" s="5">
        <v>29.17</v>
      </c>
      <c r="G257" s="5">
        <v>28.085000000000001</v>
      </c>
      <c r="H257" s="5">
        <v>1240.2533330000001</v>
      </c>
      <c r="I257" s="5">
        <v>2.9750000000000001</v>
      </c>
      <c r="J257" s="5" t="s">
        <v>25</v>
      </c>
    </row>
    <row r="258" spans="1:10" ht="12.75" x14ac:dyDescent="0.2">
      <c r="A258" s="5" t="s">
        <v>62</v>
      </c>
      <c r="B258" s="5">
        <v>2006</v>
      </c>
      <c r="C258" s="5">
        <v>463.24</v>
      </c>
      <c r="D258" s="5">
        <v>365.94</v>
      </c>
      <c r="E258" s="5">
        <v>44.77</v>
      </c>
      <c r="F258" s="5">
        <v>33.964285709999999</v>
      </c>
      <c r="G258" s="5">
        <v>29.82857143</v>
      </c>
      <c r="H258" s="5">
        <v>1723.55</v>
      </c>
      <c r="I258" s="5">
        <v>2.5099999999999998</v>
      </c>
      <c r="J258" s="5" t="s">
        <v>25</v>
      </c>
    </row>
    <row r="259" spans="1:10" ht="12.75" x14ac:dyDescent="0.2">
      <c r="A259" s="5" t="s">
        <v>62</v>
      </c>
      <c r="B259" s="5">
        <v>2007</v>
      </c>
      <c r="C259" s="5">
        <v>402.7142857</v>
      </c>
      <c r="D259" s="5">
        <v>285.48714289999998</v>
      </c>
      <c r="E259" s="5">
        <v>57.567142859999997</v>
      </c>
      <c r="F259" s="5">
        <v>23.135714289999999</v>
      </c>
      <c r="G259" s="5">
        <v>27.507142859999998</v>
      </c>
      <c r="H259" s="5">
        <v>1596.588571</v>
      </c>
      <c r="I259" s="5">
        <v>1.928571429</v>
      </c>
      <c r="J259" s="5" t="s">
        <v>16</v>
      </c>
    </row>
    <row r="260" spans="1:10" ht="12.75" x14ac:dyDescent="0.2">
      <c r="A260" s="5" t="s">
        <v>62</v>
      </c>
      <c r="B260" s="5">
        <v>2008</v>
      </c>
      <c r="C260" s="5">
        <v>392.91699999999997</v>
      </c>
      <c r="D260" s="5">
        <v>220.327</v>
      </c>
      <c r="E260" s="5">
        <v>46.151000000000003</v>
      </c>
      <c r="F260" s="5">
        <v>34.807000000000002</v>
      </c>
      <c r="G260" s="5">
        <v>21.849</v>
      </c>
      <c r="H260" s="5">
        <v>1556.8530000000001</v>
      </c>
      <c r="I260" s="5">
        <v>1.8979999999999999</v>
      </c>
      <c r="J260" s="5" t="s">
        <v>16</v>
      </c>
    </row>
    <row r="261" spans="1:10" ht="12.75" x14ac:dyDescent="0.2">
      <c r="A261" s="5" t="s">
        <v>62</v>
      </c>
      <c r="B261" s="5">
        <v>2009</v>
      </c>
      <c r="C261" s="5">
        <v>610.65</v>
      </c>
      <c r="D261" s="5">
        <v>278.154</v>
      </c>
      <c r="E261" s="5">
        <v>51.512</v>
      </c>
      <c r="F261" s="5">
        <v>33.414000000000001</v>
      </c>
      <c r="G261" s="5">
        <v>22.852</v>
      </c>
      <c r="H261" s="5">
        <v>973.14400000000001</v>
      </c>
      <c r="I261" s="5">
        <v>2.44</v>
      </c>
      <c r="J261" s="5" t="s">
        <v>16</v>
      </c>
    </row>
    <row r="262" spans="1:10" ht="12.75" x14ac:dyDescent="0.2">
      <c r="A262" s="5" t="s">
        <v>62</v>
      </c>
      <c r="B262" s="5">
        <v>2010</v>
      </c>
      <c r="C262" s="5">
        <v>441.60384620000002</v>
      </c>
      <c r="D262" s="5">
        <v>250.6561538</v>
      </c>
      <c r="E262" s="5">
        <v>48.163846149999998</v>
      </c>
      <c r="F262" s="5">
        <v>27.156923079999999</v>
      </c>
      <c r="G262" s="5">
        <v>22.44230769</v>
      </c>
      <c r="H262" s="5">
        <v>1379.1284619999999</v>
      </c>
      <c r="I262" s="5">
        <v>2.3576923079999998</v>
      </c>
      <c r="J262" s="5" t="s">
        <v>16</v>
      </c>
    </row>
    <row r="263" spans="1:10" ht="12.75" x14ac:dyDescent="0.2">
      <c r="A263" s="5" t="s">
        <v>62</v>
      </c>
      <c r="B263" s="5">
        <v>2011</v>
      </c>
      <c r="C263" s="5">
        <v>559.70000000000005</v>
      </c>
      <c r="D263" s="5">
        <v>313.43124999999998</v>
      </c>
      <c r="E263" s="5">
        <v>52.77</v>
      </c>
      <c r="F263" s="5">
        <v>28.69125</v>
      </c>
      <c r="G263" s="5">
        <v>23.74</v>
      </c>
      <c r="H263" s="5">
        <v>1103.3087499999999</v>
      </c>
      <c r="I263" s="5">
        <v>2.5024999999999999</v>
      </c>
      <c r="J263" s="5" t="s">
        <v>25</v>
      </c>
    </row>
    <row r="264" spans="1:10" ht="12.75" x14ac:dyDescent="0.2">
      <c r="A264" s="5" t="s">
        <v>62</v>
      </c>
      <c r="B264" s="5">
        <v>2012</v>
      </c>
      <c r="C264" s="5">
        <v>526.375</v>
      </c>
      <c r="D264" s="5">
        <v>205.20124999999999</v>
      </c>
      <c r="E264" s="5">
        <v>59.798749999999998</v>
      </c>
      <c r="F264" s="5">
        <v>17.805</v>
      </c>
      <c r="G264" s="5">
        <v>26.49625</v>
      </c>
      <c r="H264" s="5">
        <v>1247.94</v>
      </c>
      <c r="I264" s="5">
        <v>2.5612499999999998</v>
      </c>
      <c r="J264" s="5" t="s">
        <v>16</v>
      </c>
    </row>
    <row r="265" spans="1:10" ht="12.75" x14ac:dyDescent="0.2">
      <c r="A265" s="5" t="s">
        <v>62</v>
      </c>
      <c r="B265" s="5">
        <v>2013</v>
      </c>
      <c r="C265" s="5">
        <v>476.15444439999999</v>
      </c>
      <c r="D265" s="5">
        <v>258.76555560000003</v>
      </c>
      <c r="E265" s="5">
        <v>51.792222219999999</v>
      </c>
      <c r="F265" s="5">
        <v>37.928888890000003</v>
      </c>
      <c r="G265" s="5">
        <v>25.175555559999999</v>
      </c>
      <c r="H265" s="5">
        <v>2137.8266669999998</v>
      </c>
      <c r="I265" s="5">
        <v>1.6055555560000001</v>
      </c>
      <c r="J265" s="5" t="s">
        <v>16</v>
      </c>
    </row>
    <row r="266" spans="1:10" ht="12.75" x14ac:dyDescent="0.2">
      <c r="A266" s="5" t="s">
        <v>62</v>
      </c>
      <c r="B266" s="5">
        <v>2014</v>
      </c>
      <c r="C266" s="5">
        <v>536.50888889999999</v>
      </c>
      <c r="D266" s="5">
        <v>248.0744444</v>
      </c>
      <c r="E266" s="5">
        <v>47.611111110000003</v>
      </c>
      <c r="F266" s="5">
        <v>21.34222222</v>
      </c>
      <c r="G266" s="5">
        <v>22.66111111</v>
      </c>
      <c r="H266" s="5">
        <v>1876.2633330000001</v>
      </c>
      <c r="I266" s="5">
        <v>2.4355555560000002</v>
      </c>
      <c r="J266" s="5" t="s">
        <v>16</v>
      </c>
    </row>
    <row r="267" spans="1:10" ht="12.75" x14ac:dyDescent="0.2">
      <c r="A267" s="5" t="s">
        <v>62</v>
      </c>
      <c r="B267" s="5">
        <v>2015</v>
      </c>
      <c r="C267" s="5">
        <v>410.56428570000003</v>
      </c>
      <c r="D267" s="5">
        <v>285.11571429999998</v>
      </c>
      <c r="E267" s="5">
        <v>45.184285709999997</v>
      </c>
      <c r="F267" s="5">
        <v>25.38428571</v>
      </c>
      <c r="G267" s="5">
        <v>28.467142859999999</v>
      </c>
      <c r="H267" s="5">
        <v>1414.3057140000001</v>
      </c>
      <c r="I267" s="5">
        <v>2.4700000000000002</v>
      </c>
      <c r="J267" s="5" t="s">
        <v>16</v>
      </c>
    </row>
    <row r="268" spans="1:10" ht="12.75" x14ac:dyDescent="0.2">
      <c r="A268" s="5" t="s">
        <v>62</v>
      </c>
      <c r="B268" s="5">
        <v>2016</v>
      </c>
      <c r="C268" s="5">
        <v>615.87076920000004</v>
      </c>
      <c r="D268" s="5">
        <v>248.11769229999999</v>
      </c>
      <c r="E268" s="5">
        <v>55.42307692</v>
      </c>
      <c r="F268" s="5">
        <v>27.03230769</v>
      </c>
      <c r="G268" s="5">
        <v>26.009230769999999</v>
      </c>
      <c r="H268" s="5">
        <v>2127.2199999999998</v>
      </c>
      <c r="I268" s="5">
        <v>2.7223076919999998</v>
      </c>
      <c r="J268" s="5" t="s">
        <v>16</v>
      </c>
    </row>
    <row r="269" spans="1:10" ht="12.75" x14ac:dyDescent="0.2">
      <c r="A269" s="5" t="s">
        <v>62</v>
      </c>
      <c r="B269" s="5">
        <v>2017</v>
      </c>
      <c r="C269" s="5">
        <v>576.04222219999997</v>
      </c>
      <c r="D269" s="5">
        <v>211.93777779999999</v>
      </c>
      <c r="E269" s="5">
        <v>49.09333333</v>
      </c>
      <c r="F269" s="5">
        <v>24.06888889</v>
      </c>
      <c r="G269" s="5">
        <v>27.211111110000001</v>
      </c>
      <c r="H269" s="5">
        <v>1715.2644439999999</v>
      </c>
      <c r="I269" s="5">
        <v>2.2966666670000002</v>
      </c>
      <c r="J269" s="5" t="s">
        <v>16</v>
      </c>
    </row>
    <row r="270" spans="1:10" ht="12.75" x14ac:dyDescent="0.2">
      <c r="A270" s="5" t="s">
        <v>62</v>
      </c>
      <c r="B270" s="5">
        <v>2018</v>
      </c>
      <c r="C270" s="5">
        <v>664.3883333</v>
      </c>
      <c r="D270" s="5">
        <v>290.58333329999999</v>
      </c>
      <c r="E270" s="5">
        <v>37.623333330000001</v>
      </c>
      <c r="F270" s="5">
        <v>31.048333329999998</v>
      </c>
      <c r="G270" s="5">
        <v>25.97</v>
      </c>
      <c r="H270" s="5">
        <v>1057.1833329999999</v>
      </c>
      <c r="I270" s="5">
        <v>3.4083333329999999</v>
      </c>
      <c r="J270" s="5" t="s">
        <v>16</v>
      </c>
    </row>
    <row r="271" spans="1:10" ht="12.75" x14ac:dyDescent="0.2">
      <c r="A271" s="5" t="s">
        <v>62</v>
      </c>
      <c r="B271" s="5">
        <v>2019</v>
      </c>
      <c r="C271" s="5">
        <v>582.87230769999996</v>
      </c>
      <c r="D271" s="5">
        <v>241.01769229999999</v>
      </c>
      <c r="E271" s="5">
        <v>45.564615379999999</v>
      </c>
      <c r="F271" s="5">
        <v>30.946153850000002</v>
      </c>
      <c r="G271" s="5">
        <v>25.16769231</v>
      </c>
      <c r="H271" s="5">
        <v>1788.1492310000001</v>
      </c>
      <c r="I271" s="5">
        <v>2.3784615379999998</v>
      </c>
      <c r="J271" s="5" t="s">
        <v>16</v>
      </c>
    </row>
    <row r="272" spans="1:10" ht="12.75" x14ac:dyDescent="0.2">
      <c r="A272" s="5" t="s">
        <v>62</v>
      </c>
      <c r="B272" s="5">
        <v>2020</v>
      </c>
      <c r="C272" s="5">
        <v>211.81666670000001</v>
      </c>
      <c r="D272" s="5">
        <v>275.44333330000001</v>
      </c>
      <c r="E272" s="5">
        <v>63.69</v>
      </c>
      <c r="F272" s="5">
        <v>25.293333329999999</v>
      </c>
      <c r="G272" s="5">
        <v>20.76</v>
      </c>
      <c r="H272" s="5">
        <v>2151.44</v>
      </c>
      <c r="I272" s="5">
        <v>1.9666666669999999</v>
      </c>
      <c r="J272" s="5" t="s">
        <v>16</v>
      </c>
    </row>
    <row r="273" spans="1:10" ht="12.75" x14ac:dyDescent="0.2">
      <c r="A273" s="5" t="s">
        <v>62</v>
      </c>
      <c r="B273" s="5">
        <v>2021</v>
      </c>
      <c r="C273" s="5">
        <v>423.3775</v>
      </c>
      <c r="D273" s="5">
        <v>323.10124999999999</v>
      </c>
      <c r="E273" s="5">
        <v>45.988750000000003</v>
      </c>
      <c r="F273" s="5">
        <v>30.557500000000001</v>
      </c>
      <c r="G273" s="5">
        <v>28.137499999999999</v>
      </c>
      <c r="H273" s="5">
        <v>1272.9024999999999</v>
      </c>
      <c r="I273" s="5">
        <v>3.12</v>
      </c>
      <c r="J273" s="5" t="s">
        <v>25</v>
      </c>
    </row>
    <row r="274" spans="1:10" ht="12.75" x14ac:dyDescent="0.2">
      <c r="A274" s="5" t="s">
        <v>62</v>
      </c>
      <c r="B274" s="5">
        <v>2022</v>
      </c>
      <c r="C274" s="5">
        <v>615.154</v>
      </c>
      <c r="D274" s="5">
        <v>217.178</v>
      </c>
      <c r="E274" s="5">
        <v>51.731999999999999</v>
      </c>
      <c r="F274" s="5">
        <v>35.159999999999997</v>
      </c>
      <c r="G274" s="5">
        <v>23.86</v>
      </c>
      <c r="H274" s="5">
        <v>2533.6779999999999</v>
      </c>
      <c r="I274" s="5">
        <v>2.2480000000000002</v>
      </c>
      <c r="J274" s="5" t="s">
        <v>16</v>
      </c>
    </row>
    <row r="275" spans="1:10" ht="12.75" x14ac:dyDescent="0.2">
      <c r="A275" s="5" t="s">
        <v>62</v>
      </c>
      <c r="B275" s="5">
        <v>2023</v>
      </c>
      <c r="C275" s="5">
        <v>345.69400000000002</v>
      </c>
      <c r="D275" s="5">
        <v>303.654</v>
      </c>
      <c r="E275" s="5">
        <v>47.402000000000001</v>
      </c>
      <c r="F275" s="5">
        <v>25.297999999999998</v>
      </c>
      <c r="G275" s="5">
        <v>25.885999999999999</v>
      </c>
      <c r="H275" s="5">
        <v>976.54200000000003</v>
      </c>
      <c r="I275" s="5">
        <v>2.9420000000000002</v>
      </c>
      <c r="J275" s="5" t="s">
        <v>25</v>
      </c>
    </row>
    <row r="276" spans="1:10" ht="12.75" x14ac:dyDescent="0.2">
      <c r="A276" s="5" t="s">
        <v>62</v>
      </c>
      <c r="B276" s="5">
        <v>2024</v>
      </c>
      <c r="C276" s="5">
        <v>622.37666669999999</v>
      </c>
      <c r="D276" s="5">
        <v>240.05833329999999</v>
      </c>
      <c r="E276" s="5">
        <v>51.853333329999998</v>
      </c>
      <c r="F276" s="5">
        <v>28.32833333</v>
      </c>
      <c r="G276" s="5">
        <v>21.41333333</v>
      </c>
      <c r="H276" s="5">
        <v>1524.228333</v>
      </c>
      <c r="I276" s="5">
        <v>1.54</v>
      </c>
      <c r="J276" s="5" t="s">
        <v>16</v>
      </c>
    </row>
    <row r="277" spans="1:10" ht="12.75" x14ac:dyDescent="0.2">
      <c r="A277" s="5" t="s">
        <v>39</v>
      </c>
      <c r="B277" s="5">
        <v>2000</v>
      </c>
      <c r="C277" s="5">
        <v>529.03250000000003</v>
      </c>
      <c r="D277" s="5">
        <v>252.6575</v>
      </c>
      <c r="E277" s="5">
        <v>47.167499999999997</v>
      </c>
      <c r="F277" s="5">
        <v>32.756250000000001</v>
      </c>
      <c r="G277" s="5">
        <v>21.59</v>
      </c>
      <c r="H277" s="5">
        <v>1518.33</v>
      </c>
      <c r="I277" s="5">
        <v>2.6837499999999999</v>
      </c>
      <c r="J277" s="5" t="s">
        <v>16</v>
      </c>
    </row>
    <row r="278" spans="1:10" ht="12.75" x14ac:dyDescent="0.2">
      <c r="A278" s="5" t="s">
        <v>39</v>
      </c>
      <c r="B278" s="5">
        <v>2001</v>
      </c>
      <c r="C278" s="5">
        <v>471.77090909999998</v>
      </c>
      <c r="D278" s="5">
        <v>269.47000000000003</v>
      </c>
      <c r="E278" s="5">
        <v>41.807272730000001</v>
      </c>
      <c r="F278" s="5">
        <v>32.288181819999998</v>
      </c>
      <c r="G278" s="5">
        <v>25.15</v>
      </c>
      <c r="H278" s="5">
        <v>997.62272729999995</v>
      </c>
      <c r="I278" s="5">
        <v>2.616363636</v>
      </c>
      <c r="J278" s="5" t="s">
        <v>16</v>
      </c>
    </row>
    <row r="279" spans="1:10" ht="12.75" x14ac:dyDescent="0.2">
      <c r="A279" s="5" t="s">
        <v>39</v>
      </c>
      <c r="B279" s="5">
        <v>2002</v>
      </c>
      <c r="C279" s="5">
        <v>279.07100000000003</v>
      </c>
      <c r="D279" s="5">
        <v>139.86099999999999</v>
      </c>
      <c r="E279" s="5">
        <v>54.664999999999999</v>
      </c>
      <c r="F279" s="5">
        <v>22.814</v>
      </c>
      <c r="G279" s="5">
        <v>20.088999999999999</v>
      </c>
      <c r="H279" s="5">
        <v>1182.4280000000001</v>
      </c>
      <c r="I279" s="5">
        <v>2.5640000000000001</v>
      </c>
      <c r="J279" s="5" t="s">
        <v>28</v>
      </c>
    </row>
    <row r="280" spans="1:10" ht="12.75" x14ac:dyDescent="0.2">
      <c r="A280" s="5" t="s">
        <v>39</v>
      </c>
      <c r="B280" s="5">
        <v>2003</v>
      </c>
      <c r="C280" s="5">
        <v>504.06625000000003</v>
      </c>
      <c r="D280" s="5">
        <v>304.75</v>
      </c>
      <c r="E280" s="5">
        <v>55.747500000000002</v>
      </c>
      <c r="F280" s="5">
        <v>28.848749999999999</v>
      </c>
      <c r="G280" s="5">
        <v>29.126249999999999</v>
      </c>
      <c r="H280" s="5">
        <v>1651.06125</v>
      </c>
      <c r="I280" s="5">
        <v>3.4125000000000001</v>
      </c>
      <c r="J280" s="5" t="s">
        <v>25</v>
      </c>
    </row>
    <row r="281" spans="1:10" ht="12.75" x14ac:dyDescent="0.2">
      <c r="A281" s="5" t="s">
        <v>39</v>
      </c>
      <c r="B281" s="5">
        <v>2004</v>
      </c>
      <c r="C281" s="5">
        <v>524.30777780000005</v>
      </c>
      <c r="D281" s="5">
        <v>302.49222220000001</v>
      </c>
      <c r="E281" s="5">
        <v>45.334444439999999</v>
      </c>
      <c r="F281" s="5">
        <v>25.66</v>
      </c>
      <c r="G281" s="5">
        <v>26.573333330000001</v>
      </c>
      <c r="H281" s="5">
        <v>2115.708889</v>
      </c>
      <c r="I281" s="5">
        <v>2.5788888889999999</v>
      </c>
      <c r="J281" s="5" t="s">
        <v>25</v>
      </c>
    </row>
    <row r="282" spans="1:10" ht="12.75" x14ac:dyDescent="0.2">
      <c r="A282" s="5" t="s">
        <v>39</v>
      </c>
      <c r="B282" s="5">
        <v>2005</v>
      </c>
      <c r="C282" s="5">
        <v>511.0575</v>
      </c>
      <c r="D282" s="5">
        <v>217.07</v>
      </c>
      <c r="E282" s="5">
        <v>55.832500000000003</v>
      </c>
      <c r="F282" s="5">
        <v>29.022500000000001</v>
      </c>
      <c r="G282" s="5">
        <v>19.914999999999999</v>
      </c>
      <c r="H282" s="5">
        <v>1283.9425000000001</v>
      </c>
      <c r="I282" s="5">
        <v>1.615</v>
      </c>
      <c r="J282" s="5" t="s">
        <v>16</v>
      </c>
    </row>
    <row r="283" spans="1:10" ht="12.75" x14ac:dyDescent="0.2">
      <c r="A283" s="5" t="s">
        <v>39</v>
      </c>
      <c r="B283" s="5">
        <v>2006</v>
      </c>
      <c r="C283" s="5">
        <v>447.81</v>
      </c>
      <c r="D283" s="5">
        <v>338.596</v>
      </c>
      <c r="E283" s="5">
        <v>40.47</v>
      </c>
      <c r="F283" s="5">
        <v>19.962</v>
      </c>
      <c r="G283" s="5">
        <v>16.608000000000001</v>
      </c>
      <c r="H283" s="5">
        <v>1297.068</v>
      </c>
      <c r="I283" s="5">
        <v>2.8159999999999998</v>
      </c>
      <c r="J283" s="5" t="s">
        <v>25</v>
      </c>
    </row>
    <row r="284" spans="1:10" ht="12.75" x14ac:dyDescent="0.2">
      <c r="A284" s="5" t="s">
        <v>39</v>
      </c>
      <c r="B284" s="5">
        <v>2007</v>
      </c>
      <c r="C284" s="5">
        <v>527.21941179999999</v>
      </c>
      <c r="D284" s="5">
        <v>281.46705880000002</v>
      </c>
      <c r="E284" s="5">
        <v>50.69</v>
      </c>
      <c r="F284" s="5">
        <v>28.983529409999999</v>
      </c>
      <c r="G284" s="5">
        <v>22.660588239999999</v>
      </c>
      <c r="H284" s="5">
        <v>1214.2605880000001</v>
      </c>
      <c r="I284" s="5">
        <v>2.8229411760000001</v>
      </c>
      <c r="J284" s="5" t="s">
        <v>16</v>
      </c>
    </row>
    <row r="285" spans="1:10" ht="12.75" x14ac:dyDescent="0.2">
      <c r="A285" s="5" t="s">
        <v>39</v>
      </c>
      <c r="B285" s="5">
        <v>2008</v>
      </c>
      <c r="C285" s="5">
        <v>481.40272729999998</v>
      </c>
      <c r="D285" s="5">
        <v>209.2172727</v>
      </c>
      <c r="E285" s="5">
        <v>41.34727273</v>
      </c>
      <c r="F285" s="5">
        <v>24.899090910000002</v>
      </c>
      <c r="G285" s="5">
        <v>25.523636360000001</v>
      </c>
      <c r="H285" s="5">
        <v>1555.136364</v>
      </c>
      <c r="I285" s="5">
        <v>3.3909090910000002</v>
      </c>
      <c r="J285" s="5" t="s">
        <v>16</v>
      </c>
    </row>
    <row r="286" spans="1:10" ht="12.75" x14ac:dyDescent="0.2">
      <c r="A286" s="5" t="s">
        <v>39</v>
      </c>
      <c r="B286" s="5">
        <v>2009</v>
      </c>
      <c r="C286" s="5">
        <v>390.41181820000003</v>
      </c>
      <c r="D286" s="5">
        <v>267.83818179999997</v>
      </c>
      <c r="E286" s="5">
        <v>48.481818179999998</v>
      </c>
      <c r="F286" s="5">
        <v>27.357272729999998</v>
      </c>
      <c r="G286" s="5">
        <v>30.72</v>
      </c>
      <c r="H286" s="5">
        <v>1087.1981820000001</v>
      </c>
      <c r="I286" s="5">
        <v>3.1454545450000002</v>
      </c>
      <c r="J286" s="5" t="s">
        <v>16</v>
      </c>
    </row>
    <row r="287" spans="1:10" ht="12.75" x14ac:dyDescent="0.2">
      <c r="A287" s="5" t="s">
        <v>39</v>
      </c>
      <c r="B287" s="5">
        <v>2010</v>
      </c>
      <c r="C287" s="5">
        <v>382.29374999999999</v>
      </c>
      <c r="D287" s="5">
        <v>253.97499999999999</v>
      </c>
      <c r="E287" s="5">
        <v>49.49</v>
      </c>
      <c r="F287" s="5">
        <v>24.07</v>
      </c>
      <c r="G287" s="5">
        <v>24.127500000000001</v>
      </c>
      <c r="H287" s="5">
        <v>1290.6937499999999</v>
      </c>
      <c r="I287" s="5">
        <v>2.9112499999999999</v>
      </c>
      <c r="J287" s="5" t="s">
        <v>16</v>
      </c>
    </row>
    <row r="288" spans="1:10" ht="12.75" x14ac:dyDescent="0.2">
      <c r="A288" s="5" t="s">
        <v>39</v>
      </c>
      <c r="B288" s="5">
        <v>2011</v>
      </c>
      <c r="C288" s="5">
        <v>495.20555560000003</v>
      </c>
      <c r="D288" s="5">
        <v>295.89111109999999</v>
      </c>
      <c r="E288" s="5">
        <v>54.737777780000002</v>
      </c>
      <c r="F288" s="5">
        <v>29.811111109999999</v>
      </c>
      <c r="G288" s="5">
        <v>23.833333329999999</v>
      </c>
      <c r="H288" s="5">
        <v>1816.573333</v>
      </c>
      <c r="I288" s="5">
        <v>2.3311111109999998</v>
      </c>
      <c r="J288" s="5" t="s">
        <v>16</v>
      </c>
    </row>
    <row r="289" spans="1:10" ht="12.75" x14ac:dyDescent="0.2">
      <c r="A289" s="5" t="s">
        <v>39</v>
      </c>
      <c r="B289" s="5">
        <v>2012</v>
      </c>
      <c r="C289" s="5">
        <v>500.08800000000002</v>
      </c>
      <c r="D289" s="5">
        <v>279.92599999999999</v>
      </c>
      <c r="E289" s="5">
        <v>51.402000000000001</v>
      </c>
      <c r="F289" s="5">
        <v>24.771999999999998</v>
      </c>
      <c r="G289" s="5">
        <v>29.212</v>
      </c>
      <c r="H289" s="5">
        <v>1884.5640000000001</v>
      </c>
      <c r="I289" s="5">
        <v>4.3220000000000001</v>
      </c>
      <c r="J289" s="5" t="s">
        <v>16</v>
      </c>
    </row>
    <row r="290" spans="1:10" ht="12.75" x14ac:dyDescent="0.2">
      <c r="A290" s="5" t="s">
        <v>39</v>
      </c>
      <c r="B290" s="5">
        <v>2013</v>
      </c>
      <c r="C290" s="5">
        <v>403.53777780000001</v>
      </c>
      <c r="D290" s="5">
        <v>276.37555559999998</v>
      </c>
      <c r="E290" s="5">
        <v>44.102222220000002</v>
      </c>
      <c r="F290" s="5">
        <v>23.74666667</v>
      </c>
      <c r="G290" s="5">
        <v>25.07222222</v>
      </c>
      <c r="H290" s="5">
        <v>1595.2633330000001</v>
      </c>
      <c r="I290" s="5">
        <v>2.2544444440000002</v>
      </c>
      <c r="J290" s="5" t="s">
        <v>16</v>
      </c>
    </row>
    <row r="291" spans="1:10" ht="12.75" x14ac:dyDescent="0.2">
      <c r="A291" s="5" t="s">
        <v>39</v>
      </c>
      <c r="B291" s="5">
        <v>2014</v>
      </c>
      <c r="C291" s="5">
        <v>546.75142860000005</v>
      </c>
      <c r="D291" s="5">
        <v>361.96</v>
      </c>
      <c r="E291" s="5">
        <v>47.98857143</v>
      </c>
      <c r="F291" s="5">
        <v>28.537142859999999</v>
      </c>
      <c r="G291" s="5">
        <v>24.431428570000001</v>
      </c>
      <c r="H291" s="5">
        <v>1973.05</v>
      </c>
      <c r="I291" s="5">
        <v>3.5314285710000002</v>
      </c>
      <c r="J291" s="5" t="s">
        <v>25</v>
      </c>
    </row>
    <row r="292" spans="1:10" ht="12.75" x14ac:dyDescent="0.2">
      <c r="A292" s="5" t="s">
        <v>39</v>
      </c>
      <c r="B292" s="5">
        <v>2015</v>
      </c>
      <c r="C292" s="5">
        <v>470.19777779999998</v>
      </c>
      <c r="D292" s="5">
        <v>260.4866667</v>
      </c>
      <c r="E292" s="5">
        <v>49.267777780000003</v>
      </c>
      <c r="F292" s="5">
        <v>29.563333329999999</v>
      </c>
      <c r="G292" s="5">
        <v>21.924444439999998</v>
      </c>
      <c r="H292" s="5">
        <v>1687.8688890000001</v>
      </c>
      <c r="I292" s="5">
        <v>2.6577777779999998</v>
      </c>
      <c r="J292" s="5" t="s">
        <v>16</v>
      </c>
    </row>
    <row r="293" spans="1:10" ht="12.75" x14ac:dyDescent="0.2">
      <c r="A293" s="5" t="s">
        <v>39</v>
      </c>
      <c r="B293" s="5">
        <v>2016</v>
      </c>
      <c r="C293" s="5">
        <v>385.38916669999998</v>
      </c>
      <c r="D293" s="5">
        <v>294.77166670000003</v>
      </c>
      <c r="E293" s="5">
        <v>50.54</v>
      </c>
      <c r="F293" s="5">
        <v>29.06666667</v>
      </c>
      <c r="G293" s="5">
        <v>28.184999999999999</v>
      </c>
      <c r="H293" s="5">
        <v>1550.5366670000001</v>
      </c>
      <c r="I293" s="5">
        <v>2.6808333329999998</v>
      </c>
      <c r="J293" s="5" t="s">
        <v>16</v>
      </c>
    </row>
    <row r="294" spans="1:10" ht="12.75" x14ac:dyDescent="0.2">
      <c r="A294" s="5" t="s">
        <v>39</v>
      </c>
      <c r="B294" s="5">
        <v>2017</v>
      </c>
      <c r="C294" s="5">
        <v>527.14333329999999</v>
      </c>
      <c r="D294" s="5">
        <v>286.9916667</v>
      </c>
      <c r="E294" s="5">
        <v>51.028333330000002</v>
      </c>
      <c r="F294" s="5">
        <v>29.208333329999999</v>
      </c>
      <c r="G294" s="5">
        <v>17.25333333</v>
      </c>
      <c r="H294" s="5">
        <v>1895.0566670000001</v>
      </c>
      <c r="I294" s="5">
        <v>2.7949999999999999</v>
      </c>
      <c r="J294" s="5" t="s">
        <v>16</v>
      </c>
    </row>
    <row r="295" spans="1:10" ht="12.75" x14ac:dyDescent="0.2">
      <c r="A295" s="5" t="s">
        <v>39</v>
      </c>
      <c r="B295" s="5">
        <v>2018</v>
      </c>
      <c r="C295" s="5">
        <v>654.62285710000003</v>
      </c>
      <c r="D295" s="5">
        <v>357.53714289999999</v>
      </c>
      <c r="E295" s="5">
        <v>65.28</v>
      </c>
      <c r="F295" s="5">
        <v>29.652857139999998</v>
      </c>
      <c r="G295" s="5">
        <v>27.21</v>
      </c>
      <c r="H295" s="5">
        <v>1482.394286</v>
      </c>
      <c r="I295" s="5">
        <v>2.5042857139999999</v>
      </c>
      <c r="J295" s="5" t="s">
        <v>25</v>
      </c>
    </row>
    <row r="296" spans="1:10" ht="12.75" x14ac:dyDescent="0.2">
      <c r="A296" s="5" t="s">
        <v>39</v>
      </c>
      <c r="B296" s="5">
        <v>2019</v>
      </c>
      <c r="C296" s="5">
        <v>480.01571430000001</v>
      </c>
      <c r="D296" s="5">
        <v>292.86285709999999</v>
      </c>
      <c r="E296" s="5">
        <v>48.547142860000001</v>
      </c>
      <c r="F296" s="5">
        <v>31.422857140000001</v>
      </c>
      <c r="G296" s="5">
        <v>30.50285714</v>
      </c>
      <c r="H296" s="5">
        <v>1064.121429</v>
      </c>
      <c r="I296" s="5">
        <v>2.9457142859999998</v>
      </c>
      <c r="J296" s="5" t="s">
        <v>16</v>
      </c>
    </row>
    <row r="297" spans="1:10" ht="12.75" x14ac:dyDescent="0.2">
      <c r="A297" s="5" t="s">
        <v>39</v>
      </c>
      <c r="B297" s="5">
        <v>2020</v>
      </c>
      <c r="C297" s="5">
        <v>558.97749999999996</v>
      </c>
      <c r="D297" s="5">
        <v>280.23500000000001</v>
      </c>
      <c r="E297" s="5">
        <v>48.74</v>
      </c>
      <c r="F297" s="5">
        <v>28.673749999999998</v>
      </c>
      <c r="G297" s="5">
        <v>24.767499999999998</v>
      </c>
      <c r="H297" s="5">
        <v>1445.1175000000001</v>
      </c>
      <c r="I297" s="5">
        <v>2.2250000000000001</v>
      </c>
      <c r="J297" s="5" t="s">
        <v>16</v>
      </c>
    </row>
    <row r="298" spans="1:10" ht="12.75" x14ac:dyDescent="0.2">
      <c r="A298" s="5" t="s">
        <v>39</v>
      </c>
      <c r="B298" s="5">
        <v>2021</v>
      </c>
      <c r="C298" s="5">
        <v>533.34083329999999</v>
      </c>
      <c r="D298" s="5">
        <v>284.87583330000001</v>
      </c>
      <c r="E298" s="5">
        <v>50.888333330000002</v>
      </c>
      <c r="F298" s="5">
        <v>27.998333330000001</v>
      </c>
      <c r="G298" s="5">
        <v>26.29</v>
      </c>
      <c r="H298" s="5">
        <v>1474.9416670000001</v>
      </c>
      <c r="I298" s="5">
        <v>2.3875000000000002</v>
      </c>
      <c r="J298" s="5" t="s">
        <v>16</v>
      </c>
    </row>
    <row r="299" spans="1:10" ht="12.75" x14ac:dyDescent="0.2">
      <c r="A299" s="5" t="s">
        <v>39</v>
      </c>
      <c r="B299" s="5">
        <v>2022</v>
      </c>
      <c r="C299" s="5">
        <v>497.69799999999998</v>
      </c>
      <c r="D299" s="5">
        <v>329.62400000000002</v>
      </c>
      <c r="E299" s="5">
        <v>44.793999999999997</v>
      </c>
      <c r="F299" s="5">
        <v>35.533999999999999</v>
      </c>
      <c r="G299" s="5">
        <v>22.251000000000001</v>
      </c>
      <c r="H299" s="5">
        <v>1390.4459999999999</v>
      </c>
      <c r="I299" s="5">
        <v>2.851</v>
      </c>
      <c r="J299" s="5" t="s">
        <v>25</v>
      </c>
    </row>
    <row r="300" spans="1:10" ht="12.75" x14ac:dyDescent="0.2">
      <c r="A300" s="5" t="s">
        <v>39</v>
      </c>
      <c r="B300" s="5">
        <v>2023</v>
      </c>
      <c r="C300" s="5">
        <v>504.06333330000001</v>
      </c>
      <c r="D300" s="5">
        <v>298.58999999999997</v>
      </c>
      <c r="E300" s="5">
        <v>48.917499999999997</v>
      </c>
      <c r="F300" s="5">
        <v>26.1</v>
      </c>
      <c r="G300" s="5">
        <v>24.754999999999999</v>
      </c>
      <c r="H300" s="5">
        <v>1422.0391669999999</v>
      </c>
      <c r="I300" s="5">
        <v>3.045833333</v>
      </c>
      <c r="J300" s="5" t="s">
        <v>16</v>
      </c>
    </row>
    <row r="301" spans="1:10" ht="12.75" x14ac:dyDescent="0.2">
      <c r="A301" s="5" t="s">
        <v>39</v>
      </c>
      <c r="B301" s="5">
        <v>2024</v>
      </c>
      <c r="C301" s="5">
        <v>452.57933329999997</v>
      </c>
      <c r="D301" s="5">
        <v>234.94</v>
      </c>
      <c r="E301" s="5">
        <v>54.433333330000004</v>
      </c>
      <c r="F301" s="5">
        <v>28.978000000000002</v>
      </c>
      <c r="G301" s="5">
        <v>21.608666670000002</v>
      </c>
      <c r="H301" s="5">
        <v>1448.624667</v>
      </c>
      <c r="I301" s="5">
        <v>2.8853333330000002</v>
      </c>
      <c r="J301" s="5" t="s">
        <v>16</v>
      </c>
    </row>
    <row r="302" spans="1:10" ht="12.75" x14ac:dyDescent="0.2">
      <c r="A302" s="5" t="s">
        <v>48</v>
      </c>
      <c r="B302" s="5">
        <v>2000</v>
      </c>
      <c r="C302" s="5">
        <v>544.99923079999996</v>
      </c>
      <c r="D302" s="5">
        <v>266.10692310000002</v>
      </c>
      <c r="E302" s="5">
        <v>54.256153849999997</v>
      </c>
      <c r="F302" s="5">
        <v>25.18461538</v>
      </c>
      <c r="G302" s="5">
        <v>23.836923079999998</v>
      </c>
      <c r="H302" s="5">
        <v>1669.8992310000001</v>
      </c>
      <c r="I302" s="5">
        <v>2.766923077</v>
      </c>
      <c r="J302" s="5" t="s">
        <v>16</v>
      </c>
    </row>
    <row r="303" spans="1:10" ht="12.75" x14ac:dyDescent="0.2">
      <c r="A303" s="5" t="s">
        <v>48</v>
      </c>
      <c r="B303" s="5">
        <v>2001</v>
      </c>
      <c r="C303" s="5">
        <v>629.21333330000004</v>
      </c>
      <c r="D303" s="5">
        <v>211.155</v>
      </c>
      <c r="E303" s="5">
        <v>40.555833329999999</v>
      </c>
      <c r="F303" s="5">
        <v>27.5425</v>
      </c>
      <c r="G303" s="5">
        <v>29.053333330000001</v>
      </c>
      <c r="H303" s="5">
        <v>1379.665</v>
      </c>
      <c r="I303" s="5">
        <v>2.840833333</v>
      </c>
      <c r="J303" s="5" t="s">
        <v>16</v>
      </c>
    </row>
    <row r="304" spans="1:10" ht="12.75" x14ac:dyDescent="0.2">
      <c r="A304" s="5" t="s">
        <v>48</v>
      </c>
      <c r="B304" s="5">
        <v>2002</v>
      </c>
      <c r="C304" s="5">
        <v>487.18599999999998</v>
      </c>
      <c r="D304" s="5">
        <v>212.32900000000001</v>
      </c>
      <c r="E304" s="5">
        <v>52.933999999999997</v>
      </c>
      <c r="F304" s="5">
        <v>31.605</v>
      </c>
      <c r="G304" s="5">
        <v>27.335000000000001</v>
      </c>
      <c r="H304" s="5">
        <v>1837.251</v>
      </c>
      <c r="I304" s="5">
        <v>2.786</v>
      </c>
      <c r="J304" s="5" t="s">
        <v>16</v>
      </c>
    </row>
    <row r="305" spans="1:10" ht="12.75" x14ac:dyDescent="0.2">
      <c r="A305" s="5" t="s">
        <v>48</v>
      </c>
      <c r="B305" s="5">
        <v>2003</v>
      </c>
      <c r="C305" s="5">
        <v>562.34100000000001</v>
      </c>
      <c r="D305" s="5">
        <v>306.35899999999998</v>
      </c>
      <c r="E305" s="5">
        <v>55.887</v>
      </c>
      <c r="F305" s="5">
        <v>27.417000000000002</v>
      </c>
      <c r="G305" s="5">
        <v>26.934999999999999</v>
      </c>
      <c r="H305" s="5">
        <v>965.61699999999996</v>
      </c>
      <c r="I305" s="5">
        <v>3.4860000000000002</v>
      </c>
      <c r="J305" s="5" t="s">
        <v>25</v>
      </c>
    </row>
    <row r="306" spans="1:10" ht="12.75" x14ac:dyDescent="0.2">
      <c r="A306" s="5" t="s">
        <v>48</v>
      </c>
      <c r="B306" s="5">
        <v>2004</v>
      </c>
      <c r="C306" s="5">
        <v>555.15</v>
      </c>
      <c r="D306" s="5">
        <v>248.77699999999999</v>
      </c>
      <c r="E306" s="5">
        <v>52.228999999999999</v>
      </c>
      <c r="F306" s="5">
        <v>31.622</v>
      </c>
      <c r="G306" s="5">
        <v>23.126999999999999</v>
      </c>
      <c r="H306" s="5">
        <v>1389.694</v>
      </c>
      <c r="I306" s="5">
        <v>2.0289999999999999</v>
      </c>
      <c r="J306" s="5" t="s">
        <v>16</v>
      </c>
    </row>
    <row r="307" spans="1:10" ht="12.75" x14ac:dyDescent="0.2">
      <c r="A307" s="5" t="s">
        <v>48</v>
      </c>
      <c r="B307" s="5">
        <v>2005</v>
      </c>
      <c r="C307" s="5">
        <v>427.98374999999999</v>
      </c>
      <c r="D307" s="5">
        <v>280.47812499999998</v>
      </c>
      <c r="E307" s="5">
        <v>52.845624999999998</v>
      </c>
      <c r="F307" s="5">
        <v>30.803750000000001</v>
      </c>
      <c r="G307" s="5">
        <v>23.015625</v>
      </c>
      <c r="H307" s="5">
        <v>1423.4143750000001</v>
      </c>
      <c r="I307" s="5">
        <v>3.308125</v>
      </c>
      <c r="J307" s="5" t="s">
        <v>16</v>
      </c>
    </row>
    <row r="308" spans="1:10" ht="12.75" x14ac:dyDescent="0.2">
      <c r="A308" s="5" t="s">
        <v>48</v>
      </c>
      <c r="B308" s="5">
        <v>2006</v>
      </c>
      <c r="C308" s="5">
        <v>614.04</v>
      </c>
      <c r="D308" s="5">
        <v>254.85818180000001</v>
      </c>
      <c r="E308" s="5">
        <v>51.049090909999997</v>
      </c>
      <c r="F308" s="5">
        <v>20.9</v>
      </c>
      <c r="G308" s="5">
        <v>24.907272729999999</v>
      </c>
      <c r="H308" s="5">
        <v>1703.7836359999999</v>
      </c>
      <c r="I308" s="5">
        <v>2.4690909090000002</v>
      </c>
      <c r="J308" s="5" t="s">
        <v>16</v>
      </c>
    </row>
    <row r="309" spans="1:10" ht="12.75" x14ac:dyDescent="0.2">
      <c r="A309" s="5" t="s">
        <v>48</v>
      </c>
      <c r="B309" s="5">
        <v>2007</v>
      </c>
      <c r="C309" s="5">
        <v>552.64099999999996</v>
      </c>
      <c r="D309" s="5">
        <v>246.24799999999999</v>
      </c>
      <c r="E309" s="5">
        <v>46.058999999999997</v>
      </c>
      <c r="F309" s="5">
        <v>38.756999999999998</v>
      </c>
      <c r="G309" s="5">
        <v>20.038</v>
      </c>
      <c r="H309" s="5">
        <v>1200.1110000000001</v>
      </c>
      <c r="I309" s="5">
        <v>2.5409999999999999</v>
      </c>
      <c r="J309" s="5" t="s">
        <v>16</v>
      </c>
    </row>
    <row r="310" spans="1:10" ht="12.75" x14ac:dyDescent="0.2">
      <c r="A310" s="5" t="s">
        <v>48</v>
      </c>
      <c r="B310" s="5">
        <v>2008</v>
      </c>
      <c r="C310" s="5">
        <v>608.3666667</v>
      </c>
      <c r="D310" s="5">
        <v>291.76111109999999</v>
      </c>
      <c r="E310" s="5">
        <v>47.813333329999999</v>
      </c>
      <c r="F310" s="5">
        <v>28.767777779999999</v>
      </c>
      <c r="G310" s="5">
        <v>21.516666669999999</v>
      </c>
      <c r="H310" s="5">
        <v>1761.913333</v>
      </c>
      <c r="I310" s="5">
        <v>1.9466666669999999</v>
      </c>
      <c r="J310" s="5" t="s">
        <v>16</v>
      </c>
    </row>
    <row r="311" spans="1:10" ht="12.75" x14ac:dyDescent="0.2">
      <c r="A311" s="5" t="s">
        <v>48</v>
      </c>
      <c r="B311" s="5">
        <v>2009</v>
      </c>
      <c r="C311" s="5">
        <v>472.67</v>
      </c>
      <c r="D311" s="5">
        <v>317.23166670000001</v>
      </c>
      <c r="E311" s="5">
        <v>51.102499999999999</v>
      </c>
      <c r="F311" s="5">
        <v>23.604166670000001</v>
      </c>
      <c r="G311" s="5">
        <v>25.76166667</v>
      </c>
      <c r="H311" s="5">
        <v>1736.958333</v>
      </c>
      <c r="I311" s="5">
        <v>2.0225</v>
      </c>
      <c r="J311" s="5" t="s">
        <v>25</v>
      </c>
    </row>
    <row r="312" spans="1:10" ht="12.75" x14ac:dyDescent="0.2">
      <c r="A312" s="5" t="s">
        <v>48</v>
      </c>
      <c r="B312" s="5">
        <v>2010</v>
      </c>
      <c r="C312" s="5">
        <v>375.48</v>
      </c>
      <c r="D312" s="5">
        <v>328.84</v>
      </c>
      <c r="E312" s="5">
        <v>51.607500000000002</v>
      </c>
      <c r="F312" s="5">
        <v>34.142499999999998</v>
      </c>
      <c r="G312" s="5">
        <v>23.822500000000002</v>
      </c>
      <c r="H312" s="5">
        <v>1572.0225</v>
      </c>
      <c r="I312" s="5">
        <v>2.44</v>
      </c>
      <c r="J312" s="5" t="s">
        <v>25</v>
      </c>
    </row>
    <row r="313" spans="1:10" ht="12.75" x14ac:dyDescent="0.2">
      <c r="A313" s="5" t="s">
        <v>48</v>
      </c>
      <c r="B313" s="5">
        <v>2011</v>
      </c>
      <c r="C313" s="5">
        <v>458.47142860000002</v>
      </c>
      <c r="D313" s="5">
        <v>250.64571430000001</v>
      </c>
      <c r="E313" s="5">
        <v>53.989285709999997</v>
      </c>
      <c r="F313" s="5">
        <v>25.90428571</v>
      </c>
      <c r="G313" s="5">
        <v>26.09642857</v>
      </c>
      <c r="H313" s="5">
        <v>1465.1592860000001</v>
      </c>
      <c r="I313" s="5">
        <v>2.457142857</v>
      </c>
      <c r="J313" s="5" t="s">
        <v>16</v>
      </c>
    </row>
    <row r="314" spans="1:10" ht="12.75" x14ac:dyDescent="0.2">
      <c r="A314" s="5" t="s">
        <v>48</v>
      </c>
      <c r="B314" s="5">
        <v>2012</v>
      </c>
      <c r="C314" s="5">
        <v>542.8113333</v>
      </c>
      <c r="D314" s="5">
        <v>261.07733330000002</v>
      </c>
      <c r="E314" s="5">
        <v>46.898666669999997</v>
      </c>
      <c r="F314" s="5">
        <v>28.520666670000001</v>
      </c>
      <c r="G314" s="5">
        <v>20.992666669999998</v>
      </c>
      <c r="H314" s="5">
        <v>1750.9086669999999</v>
      </c>
      <c r="I314" s="5">
        <v>3.2066666669999999</v>
      </c>
      <c r="J314" s="5" t="s">
        <v>16</v>
      </c>
    </row>
    <row r="315" spans="1:10" ht="12.75" x14ac:dyDescent="0.2">
      <c r="A315" s="5" t="s">
        <v>48</v>
      </c>
      <c r="B315" s="5">
        <v>2013</v>
      </c>
      <c r="C315" s="5">
        <v>438.02866669999997</v>
      </c>
      <c r="D315" s="5">
        <v>255.22066670000001</v>
      </c>
      <c r="E315" s="5">
        <v>53.356666670000003</v>
      </c>
      <c r="F315" s="5">
        <v>29.82266667</v>
      </c>
      <c r="G315" s="5">
        <v>23.511333329999999</v>
      </c>
      <c r="H315" s="5">
        <v>1642.184667</v>
      </c>
      <c r="I315" s="5">
        <v>2.2759999999999998</v>
      </c>
      <c r="J315" s="5" t="s">
        <v>16</v>
      </c>
    </row>
    <row r="316" spans="1:10" ht="12.75" x14ac:dyDescent="0.2">
      <c r="A316" s="5" t="s">
        <v>48</v>
      </c>
      <c r="B316" s="5">
        <v>2014</v>
      </c>
      <c r="C316" s="5">
        <v>612.64</v>
      </c>
      <c r="D316" s="5">
        <v>245.65777779999999</v>
      </c>
      <c r="E316" s="5">
        <v>55.237777780000002</v>
      </c>
      <c r="F316" s="5">
        <v>26.673333329999998</v>
      </c>
      <c r="G316" s="5">
        <v>24.486666670000002</v>
      </c>
      <c r="H316" s="5">
        <v>1453.158889</v>
      </c>
      <c r="I316" s="5">
        <v>2.7944444439999998</v>
      </c>
      <c r="J316" s="5" t="s">
        <v>16</v>
      </c>
    </row>
    <row r="317" spans="1:10" ht="12.75" x14ac:dyDescent="0.2">
      <c r="A317" s="5" t="s">
        <v>48</v>
      </c>
      <c r="B317" s="5">
        <v>2015</v>
      </c>
      <c r="C317" s="5">
        <v>477.53166670000002</v>
      </c>
      <c r="D317" s="5">
        <v>305.255</v>
      </c>
      <c r="E317" s="5">
        <v>46.771666670000002</v>
      </c>
      <c r="F317" s="5">
        <v>22.685833330000001</v>
      </c>
      <c r="G317" s="5">
        <v>21.267499999999998</v>
      </c>
      <c r="H317" s="5">
        <v>1548.8050000000001</v>
      </c>
      <c r="I317" s="5">
        <v>2.7708333330000001</v>
      </c>
      <c r="J317" s="5" t="s">
        <v>25</v>
      </c>
    </row>
    <row r="318" spans="1:10" ht="12.75" x14ac:dyDescent="0.2">
      <c r="A318" s="5" t="s">
        <v>48</v>
      </c>
      <c r="B318" s="5">
        <v>2016</v>
      </c>
      <c r="C318" s="5">
        <v>460.51499999999999</v>
      </c>
      <c r="D318" s="5">
        <v>307.76900000000001</v>
      </c>
      <c r="E318" s="5">
        <v>49.527000000000001</v>
      </c>
      <c r="F318" s="5">
        <v>31.481000000000002</v>
      </c>
      <c r="G318" s="5">
        <v>24.806000000000001</v>
      </c>
      <c r="H318" s="5">
        <v>1525.8330000000001</v>
      </c>
      <c r="I318" s="5">
        <v>1.859</v>
      </c>
      <c r="J318" s="5" t="s">
        <v>25</v>
      </c>
    </row>
    <row r="319" spans="1:10" ht="12.75" x14ac:dyDescent="0.2">
      <c r="A319" s="5" t="s">
        <v>48</v>
      </c>
      <c r="B319" s="5">
        <v>2017</v>
      </c>
      <c r="C319" s="5">
        <v>382.33285710000001</v>
      </c>
      <c r="D319" s="5">
        <v>347.16571429999999</v>
      </c>
      <c r="E319" s="5">
        <v>52.41</v>
      </c>
      <c r="F319" s="5">
        <v>23.835714289999999</v>
      </c>
      <c r="G319" s="5">
        <v>23.548571429999999</v>
      </c>
      <c r="H319" s="5">
        <v>1864.07</v>
      </c>
      <c r="I319" s="5">
        <v>2.4814285709999999</v>
      </c>
      <c r="J319" s="5" t="s">
        <v>25</v>
      </c>
    </row>
    <row r="320" spans="1:10" ht="12.75" x14ac:dyDescent="0.2">
      <c r="A320" s="5" t="s">
        <v>48</v>
      </c>
      <c r="B320" s="5">
        <v>2018</v>
      </c>
      <c r="C320" s="5">
        <v>490.72142860000002</v>
      </c>
      <c r="D320" s="5">
        <v>330.84714289999999</v>
      </c>
      <c r="E320" s="5">
        <v>53.227142860000001</v>
      </c>
      <c r="F320" s="5">
        <v>28.17142857</v>
      </c>
      <c r="G320" s="5">
        <v>29.851428569999999</v>
      </c>
      <c r="H320" s="5">
        <v>2194.635714</v>
      </c>
      <c r="I320" s="5">
        <v>2.9614285709999999</v>
      </c>
      <c r="J320" s="5" t="s">
        <v>25</v>
      </c>
    </row>
    <row r="321" spans="1:10" ht="12.75" x14ac:dyDescent="0.2">
      <c r="A321" s="5" t="s">
        <v>48</v>
      </c>
      <c r="B321" s="5">
        <v>2019</v>
      </c>
      <c r="C321" s="5">
        <v>353.8</v>
      </c>
      <c r="D321" s="5">
        <v>265.85500000000002</v>
      </c>
      <c r="E321" s="5">
        <v>49.716250000000002</v>
      </c>
      <c r="F321" s="5">
        <v>24.077500000000001</v>
      </c>
      <c r="G321" s="5">
        <v>28.708749999999998</v>
      </c>
      <c r="H321" s="5">
        <v>1312.1537499999999</v>
      </c>
      <c r="I321" s="5">
        <v>2.9075000000000002</v>
      </c>
      <c r="J321" s="5" t="s">
        <v>16</v>
      </c>
    </row>
    <row r="322" spans="1:10" ht="12.75" x14ac:dyDescent="0.2">
      <c r="A322" s="5" t="s">
        <v>48</v>
      </c>
      <c r="B322" s="5">
        <v>2020</v>
      </c>
      <c r="C322" s="5">
        <v>520.47500000000002</v>
      </c>
      <c r="D322" s="5">
        <v>327.94625000000002</v>
      </c>
      <c r="E322" s="5">
        <v>43.658749999999998</v>
      </c>
      <c r="F322" s="5">
        <v>25.901250000000001</v>
      </c>
      <c r="G322" s="5">
        <v>24.055</v>
      </c>
      <c r="H322" s="5">
        <v>1030.5675000000001</v>
      </c>
      <c r="I322" s="5">
        <v>1.9337500000000001</v>
      </c>
      <c r="J322" s="5" t="s">
        <v>25</v>
      </c>
    </row>
    <row r="323" spans="1:10" ht="12.75" x14ac:dyDescent="0.2">
      <c r="A323" s="5" t="s">
        <v>48</v>
      </c>
      <c r="B323" s="5">
        <v>2021</v>
      </c>
      <c r="C323" s="5">
        <v>373.5907143</v>
      </c>
      <c r="D323" s="5">
        <v>277.0871429</v>
      </c>
      <c r="E323" s="5">
        <v>51.321428570000002</v>
      </c>
      <c r="F323" s="5">
        <v>21.305714290000001</v>
      </c>
      <c r="G323" s="5">
        <v>22.84571429</v>
      </c>
      <c r="H323" s="5">
        <v>1563.3864289999999</v>
      </c>
      <c r="I323" s="5">
        <v>2.3392857139999998</v>
      </c>
      <c r="J323" s="5" t="s">
        <v>16</v>
      </c>
    </row>
    <row r="324" spans="1:10" ht="12.75" x14ac:dyDescent="0.2">
      <c r="A324" s="5" t="s">
        <v>48</v>
      </c>
      <c r="B324" s="5">
        <v>2022</v>
      </c>
      <c r="C324" s="5">
        <v>462.4533333</v>
      </c>
      <c r="D324" s="5">
        <v>286.80916669999999</v>
      </c>
      <c r="E324" s="5">
        <v>51.990833330000001</v>
      </c>
      <c r="F324" s="5">
        <v>28.891666669999999</v>
      </c>
      <c r="G324" s="5">
        <v>27.021666669999998</v>
      </c>
      <c r="H324" s="5">
        <v>1540.198333</v>
      </c>
      <c r="I324" s="5">
        <v>2.3858333329999999</v>
      </c>
      <c r="J324" s="5" t="s">
        <v>16</v>
      </c>
    </row>
    <row r="325" spans="1:10" ht="12.75" x14ac:dyDescent="0.2">
      <c r="A325" s="5" t="s">
        <v>48</v>
      </c>
      <c r="B325" s="5">
        <v>2023</v>
      </c>
      <c r="C325" s="5">
        <v>481.71916670000002</v>
      </c>
      <c r="D325" s="5">
        <v>240.71666669999999</v>
      </c>
      <c r="E325" s="5">
        <v>53.176666670000003</v>
      </c>
      <c r="F325" s="5">
        <v>31.799166670000002</v>
      </c>
      <c r="G325" s="5">
        <v>27.483333330000001</v>
      </c>
      <c r="H325" s="5">
        <v>1751.1941670000001</v>
      </c>
      <c r="I325" s="5">
        <v>2.1716666670000002</v>
      </c>
      <c r="J325" s="5" t="s">
        <v>16</v>
      </c>
    </row>
    <row r="326" spans="1:10" ht="12.75" x14ac:dyDescent="0.2">
      <c r="A326" s="5" t="s">
        <v>48</v>
      </c>
      <c r="B326" s="5">
        <v>2024</v>
      </c>
      <c r="C326" s="5">
        <v>500.36500000000001</v>
      </c>
      <c r="D326" s="5">
        <v>357.78666670000001</v>
      </c>
      <c r="E326" s="5">
        <v>45.668333330000003</v>
      </c>
      <c r="F326" s="5">
        <v>23.17</v>
      </c>
      <c r="G326" s="5">
        <v>27.168333329999999</v>
      </c>
      <c r="H326" s="5">
        <v>1546.6916670000001</v>
      </c>
      <c r="I326" s="5">
        <v>2.8233333329999999</v>
      </c>
      <c r="J326" s="5" t="s">
        <v>25</v>
      </c>
    </row>
    <row r="327" spans="1:10" ht="12.75" x14ac:dyDescent="0.2">
      <c r="A327" s="5" t="s">
        <v>35</v>
      </c>
      <c r="B327" s="5">
        <v>2000</v>
      </c>
      <c r="C327" s="5">
        <v>564.14</v>
      </c>
      <c r="D327" s="5">
        <v>316.52499999999998</v>
      </c>
      <c r="E327" s="5">
        <v>45.148000000000003</v>
      </c>
      <c r="F327" s="5">
        <v>31.04</v>
      </c>
      <c r="G327" s="5">
        <v>23.555</v>
      </c>
      <c r="H327" s="5">
        <v>1735.5440000000001</v>
      </c>
      <c r="I327" s="5">
        <v>2.2090000000000001</v>
      </c>
      <c r="J327" s="5" t="s">
        <v>25</v>
      </c>
    </row>
    <row r="328" spans="1:10" ht="12.75" x14ac:dyDescent="0.2">
      <c r="A328" s="5" t="s">
        <v>35</v>
      </c>
      <c r="B328" s="5">
        <v>2001</v>
      </c>
      <c r="C328" s="5">
        <v>513.40937499999995</v>
      </c>
      <c r="D328" s="5">
        <v>234.5625</v>
      </c>
      <c r="E328" s="5">
        <v>59.376249999999999</v>
      </c>
      <c r="F328" s="5">
        <v>23.448125000000001</v>
      </c>
      <c r="G328" s="5">
        <v>25.263124999999999</v>
      </c>
      <c r="H328" s="5">
        <v>1641.055625</v>
      </c>
      <c r="I328" s="5">
        <v>2.7243750000000002</v>
      </c>
      <c r="J328" s="5" t="s">
        <v>16</v>
      </c>
    </row>
    <row r="329" spans="1:10" ht="12.75" x14ac:dyDescent="0.2">
      <c r="A329" s="5" t="s">
        <v>35</v>
      </c>
      <c r="B329" s="5">
        <v>2002</v>
      </c>
      <c r="C329" s="5">
        <v>417.75099999999998</v>
      </c>
      <c r="D329" s="5">
        <v>315.673</v>
      </c>
      <c r="E329" s="5">
        <v>42.218000000000004</v>
      </c>
      <c r="F329" s="5">
        <v>26.186</v>
      </c>
      <c r="G329" s="5">
        <v>26.175000000000001</v>
      </c>
      <c r="H329" s="5">
        <v>1503.223</v>
      </c>
      <c r="I329" s="5">
        <v>2.4700000000000002</v>
      </c>
      <c r="J329" s="5" t="s">
        <v>25</v>
      </c>
    </row>
    <row r="330" spans="1:10" ht="12.75" x14ac:dyDescent="0.2">
      <c r="A330" s="5" t="s">
        <v>35</v>
      </c>
      <c r="B330" s="5">
        <v>2003</v>
      </c>
      <c r="C330" s="5">
        <v>412.54750000000001</v>
      </c>
      <c r="D330" s="5">
        <v>260.86333330000002</v>
      </c>
      <c r="E330" s="5">
        <v>40.40666667</v>
      </c>
      <c r="F330" s="5">
        <v>26.575833329999998</v>
      </c>
      <c r="G330" s="5">
        <v>21.375</v>
      </c>
      <c r="H330" s="5">
        <v>1544.343333</v>
      </c>
      <c r="I330" s="5">
        <v>2.3975</v>
      </c>
      <c r="J330" s="5" t="s">
        <v>16</v>
      </c>
    </row>
    <row r="331" spans="1:10" ht="12.75" x14ac:dyDescent="0.2">
      <c r="A331" s="5" t="s">
        <v>35</v>
      </c>
      <c r="B331" s="5">
        <v>2004</v>
      </c>
      <c r="C331" s="5">
        <v>581.548</v>
      </c>
      <c r="D331" s="5">
        <v>300.09899999999999</v>
      </c>
      <c r="E331" s="5">
        <v>46.061</v>
      </c>
      <c r="F331" s="5">
        <v>23.321000000000002</v>
      </c>
      <c r="G331" s="5">
        <v>22.638000000000002</v>
      </c>
      <c r="H331" s="5">
        <v>1542.596</v>
      </c>
      <c r="I331" s="5">
        <v>2.0569999999999999</v>
      </c>
      <c r="J331" s="5" t="s">
        <v>25</v>
      </c>
    </row>
    <row r="332" spans="1:10" ht="12.75" x14ac:dyDescent="0.2">
      <c r="A332" s="5" t="s">
        <v>35</v>
      </c>
      <c r="B332" s="5">
        <v>2005</v>
      </c>
      <c r="C332" s="5">
        <v>559.8663636</v>
      </c>
      <c r="D332" s="5">
        <v>175.6645455</v>
      </c>
      <c r="E332" s="5">
        <v>47.93</v>
      </c>
      <c r="F332" s="5">
        <v>26.779090910000001</v>
      </c>
      <c r="G332" s="5">
        <v>24.376363640000001</v>
      </c>
      <c r="H332" s="5">
        <v>1422.5136359999999</v>
      </c>
      <c r="I332" s="5">
        <v>2.2809090909999998</v>
      </c>
      <c r="J332" s="5" t="s">
        <v>28</v>
      </c>
    </row>
    <row r="333" spans="1:10" ht="12.75" x14ac:dyDescent="0.2">
      <c r="A333" s="5" t="s">
        <v>35</v>
      </c>
      <c r="B333" s="5">
        <v>2006</v>
      </c>
      <c r="C333" s="5">
        <v>522.38</v>
      </c>
      <c r="D333" s="5">
        <v>241.566</v>
      </c>
      <c r="E333" s="5">
        <v>51.646000000000001</v>
      </c>
      <c r="F333" s="5">
        <v>33.82</v>
      </c>
      <c r="G333" s="5">
        <v>25.277999999999999</v>
      </c>
      <c r="H333" s="5">
        <v>1475.9280000000001</v>
      </c>
      <c r="I333" s="5">
        <v>3.706</v>
      </c>
      <c r="J333" s="5" t="s">
        <v>16</v>
      </c>
    </row>
    <row r="334" spans="1:10" ht="12.75" x14ac:dyDescent="0.2">
      <c r="A334" s="5" t="s">
        <v>35</v>
      </c>
      <c r="B334" s="5">
        <v>2007</v>
      </c>
      <c r="C334" s="5">
        <v>537.96249999999998</v>
      </c>
      <c r="D334" s="5">
        <v>307.3</v>
      </c>
      <c r="E334" s="5">
        <v>51.486249999999998</v>
      </c>
      <c r="F334" s="5">
        <v>24.248750000000001</v>
      </c>
      <c r="G334" s="5">
        <v>26.186250000000001</v>
      </c>
      <c r="H334" s="5">
        <v>1950.20625</v>
      </c>
      <c r="I334" s="5">
        <v>1.99875</v>
      </c>
      <c r="J334" s="5" t="s">
        <v>25</v>
      </c>
    </row>
    <row r="335" spans="1:10" ht="12.75" x14ac:dyDescent="0.2">
      <c r="A335" s="5" t="s">
        <v>35</v>
      </c>
      <c r="B335" s="5">
        <v>2008</v>
      </c>
      <c r="C335" s="5">
        <v>583.41</v>
      </c>
      <c r="D335" s="5">
        <v>272.25</v>
      </c>
      <c r="E335" s="5">
        <v>52.611111110000003</v>
      </c>
      <c r="F335" s="5">
        <v>38.144444440000001</v>
      </c>
      <c r="G335" s="5">
        <v>27.698888889999999</v>
      </c>
      <c r="H335" s="5">
        <v>894.41111109999997</v>
      </c>
      <c r="I335" s="5">
        <v>2.1555555559999999</v>
      </c>
      <c r="J335" s="5" t="s">
        <v>16</v>
      </c>
    </row>
    <row r="336" spans="1:10" ht="12.75" x14ac:dyDescent="0.2">
      <c r="A336" s="5" t="s">
        <v>35</v>
      </c>
      <c r="B336" s="5">
        <v>2009</v>
      </c>
      <c r="C336" s="5">
        <v>551.89583330000005</v>
      </c>
      <c r="D336" s="5">
        <v>267.95666670000003</v>
      </c>
      <c r="E336" s="5">
        <v>45.896666670000002</v>
      </c>
      <c r="F336" s="5">
        <v>26.05</v>
      </c>
      <c r="G336" s="5">
        <v>29.8325</v>
      </c>
      <c r="H336" s="5">
        <v>987.2416667</v>
      </c>
      <c r="I336" s="5">
        <v>2.5291666670000001</v>
      </c>
      <c r="J336" s="5" t="s">
        <v>16</v>
      </c>
    </row>
    <row r="337" spans="1:10" ht="12.75" x14ac:dyDescent="0.2">
      <c r="A337" s="5" t="s">
        <v>35</v>
      </c>
      <c r="B337" s="5">
        <v>2010</v>
      </c>
      <c r="C337" s="5">
        <v>572.75777779999999</v>
      </c>
      <c r="D337" s="5">
        <v>320.6788889</v>
      </c>
      <c r="E337" s="5">
        <v>38.02333333</v>
      </c>
      <c r="F337" s="5">
        <v>22.858888889999999</v>
      </c>
      <c r="G337" s="5">
        <v>30.688888890000001</v>
      </c>
      <c r="H337" s="5">
        <v>1756.57</v>
      </c>
      <c r="I337" s="5">
        <v>2.7488888889999998</v>
      </c>
      <c r="J337" s="5" t="s">
        <v>25</v>
      </c>
    </row>
    <row r="338" spans="1:10" ht="12.75" x14ac:dyDescent="0.2">
      <c r="A338" s="5" t="s">
        <v>35</v>
      </c>
      <c r="B338" s="5">
        <v>2011</v>
      </c>
      <c r="C338" s="5">
        <v>504.46749999999997</v>
      </c>
      <c r="D338" s="5">
        <v>318.685</v>
      </c>
      <c r="E338" s="5">
        <v>58.970833329999998</v>
      </c>
      <c r="F338" s="5">
        <v>28.356666669999999</v>
      </c>
      <c r="G338" s="5">
        <v>25.12166667</v>
      </c>
      <c r="H338" s="5">
        <v>1518.7950000000001</v>
      </c>
      <c r="I338" s="5">
        <v>1.96</v>
      </c>
      <c r="J338" s="5" t="s">
        <v>25</v>
      </c>
    </row>
    <row r="339" spans="1:10" ht="12.75" x14ac:dyDescent="0.2">
      <c r="A339" s="5" t="s">
        <v>35</v>
      </c>
      <c r="B339" s="5">
        <v>2012</v>
      </c>
      <c r="C339" s="5">
        <v>584.7355556</v>
      </c>
      <c r="D339" s="5">
        <v>278.6394444</v>
      </c>
      <c r="E339" s="5">
        <v>50.533333329999998</v>
      </c>
      <c r="F339" s="5">
        <v>25.137222220000002</v>
      </c>
      <c r="G339" s="5">
        <v>19.87277778</v>
      </c>
      <c r="H339" s="5">
        <v>1455.9394440000001</v>
      </c>
      <c r="I339" s="5">
        <v>2.7088888889999998</v>
      </c>
      <c r="J339" s="5" t="s">
        <v>16</v>
      </c>
    </row>
    <row r="340" spans="1:10" ht="12.75" x14ac:dyDescent="0.2">
      <c r="A340" s="5" t="s">
        <v>35</v>
      </c>
      <c r="B340" s="5">
        <v>2013</v>
      </c>
      <c r="C340" s="5">
        <v>434.90125</v>
      </c>
      <c r="D340" s="5">
        <v>238.0275</v>
      </c>
      <c r="E340" s="5">
        <v>49.478749999999998</v>
      </c>
      <c r="F340" s="5">
        <v>22.291250000000002</v>
      </c>
      <c r="G340" s="5">
        <v>25.55</v>
      </c>
      <c r="H340" s="5">
        <v>1062.0762500000001</v>
      </c>
      <c r="I340" s="5">
        <v>2.6037499999999998</v>
      </c>
      <c r="J340" s="5" t="s">
        <v>16</v>
      </c>
    </row>
    <row r="341" spans="1:10" ht="12.75" x14ac:dyDescent="0.2">
      <c r="A341" s="5" t="s">
        <v>35</v>
      </c>
      <c r="B341" s="5">
        <v>2014</v>
      </c>
      <c r="C341" s="5">
        <v>538.36642859999995</v>
      </c>
      <c r="D341" s="5">
        <v>286.48857140000001</v>
      </c>
      <c r="E341" s="5">
        <v>50.603571430000002</v>
      </c>
      <c r="F341" s="5">
        <v>33.441428569999999</v>
      </c>
      <c r="G341" s="5">
        <v>23.67714286</v>
      </c>
      <c r="H341" s="5">
        <v>1353.895</v>
      </c>
      <c r="I341" s="5">
        <v>2.1828571430000001</v>
      </c>
      <c r="J341" s="5" t="s">
        <v>16</v>
      </c>
    </row>
    <row r="342" spans="1:10" ht="12.75" x14ac:dyDescent="0.2">
      <c r="A342" s="5" t="s">
        <v>35</v>
      </c>
      <c r="B342" s="5">
        <v>2015</v>
      </c>
      <c r="C342" s="5">
        <v>566.23900000000003</v>
      </c>
      <c r="D342" s="5">
        <v>240.96199999999999</v>
      </c>
      <c r="E342" s="5">
        <v>41.718000000000004</v>
      </c>
      <c r="F342" s="5">
        <v>31.754000000000001</v>
      </c>
      <c r="G342" s="5">
        <v>26.024000000000001</v>
      </c>
      <c r="H342" s="5">
        <v>1287.384</v>
      </c>
      <c r="I342" s="5">
        <v>3.6509999999999998</v>
      </c>
      <c r="J342" s="5" t="s">
        <v>16</v>
      </c>
    </row>
    <row r="343" spans="1:10" ht="12.75" x14ac:dyDescent="0.2">
      <c r="A343" s="5" t="s">
        <v>35</v>
      </c>
      <c r="B343" s="5">
        <v>2016</v>
      </c>
      <c r="C343" s="5">
        <v>349.9291667</v>
      </c>
      <c r="D343" s="5">
        <v>197.71083329999999</v>
      </c>
      <c r="E343" s="5">
        <v>57.199166669999997</v>
      </c>
      <c r="F343" s="5">
        <v>22.477499999999999</v>
      </c>
      <c r="G343" s="5">
        <v>25.87916667</v>
      </c>
      <c r="H343" s="5">
        <v>1478.1475</v>
      </c>
      <c r="I343" s="5">
        <v>2.190833333</v>
      </c>
      <c r="J343" s="5" t="s">
        <v>28</v>
      </c>
    </row>
    <row r="344" spans="1:10" ht="12.75" x14ac:dyDescent="0.2">
      <c r="A344" s="5" t="s">
        <v>35</v>
      </c>
      <c r="B344" s="5">
        <v>2017</v>
      </c>
      <c r="C344" s="5">
        <v>616.38272730000006</v>
      </c>
      <c r="D344" s="5">
        <v>247.6345455</v>
      </c>
      <c r="E344" s="5">
        <v>55.802727269999998</v>
      </c>
      <c r="F344" s="5">
        <v>23.760909089999998</v>
      </c>
      <c r="G344" s="5">
        <v>29.710909090000001</v>
      </c>
      <c r="H344" s="5">
        <v>1288.0899999999999</v>
      </c>
      <c r="I344" s="5">
        <v>2.2518181820000001</v>
      </c>
      <c r="J344" s="5" t="s">
        <v>16</v>
      </c>
    </row>
    <row r="345" spans="1:10" ht="12.75" x14ac:dyDescent="0.2">
      <c r="A345" s="5" t="s">
        <v>35</v>
      </c>
      <c r="B345" s="5">
        <v>2018</v>
      </c>
      <c r="C345" s="5">
        <v>445.10727270000001</v>
      </c>
      <c r="D345" s="5">
        <v>311.10090910000002</v>
      </c>
      <c r="E345" s="5">
        <v>48.370909089999998</v>
      </c>
      <c r="F345" s="5">
        <v>23.516363640000002</v>
      </c>
      <c r="G345" s="5">
        <v>25.45909091</v>
      </c>
      <c r="H345" s="5">
        <v>1747.4963640000001</v>
      </c>
      <c r="I345" s="5">
        <v>2.3027272729999999</v>
      </c>
      <c r="J345" s="5" t="s">
        <v>25</v>
      </c>
    </row>
    <row r="346" spans="1:10" ht="12.75" x14ac:dyDescent="0.2">
      <c r="A346" s="5" t="s">
        <v>35</v>
      </c>
      <c r="B346" s="5">
        <v>2019</v>
      </c>
      <c r="C346" s="5">
        <v>355.0575</v>
      </c>
      <c r="D346" s="5">
        <v>293.42374999999998</v>
      </c>
      <c r="E346" s="5">
        <v>51.308750000000003</v>
      </c>
      <c r="F346" s="5">
        <v>40.28125</v>
      </c>
      <c r="G346" s="5">
        <v>27.997499999999999</v>
      </c>
      <c r="H346" s="5">
        <v>1502.6775</v>
      </c>
      <c r="I346" s="5">
        <v>3.0575000000000001</v>
      </c>
      <c r="J346" s="5" t="s">
        <v>16</v>
      </c>
    </row>
    <row r="347" spans="1:10" ht="12.75" x14ac:dyDescent="0.2">
      <c r="A347" s="5" t="s">
        <v>35</v>
      </c>
      <c r="B347" s="5">
        <v>2020</v>
      </c>
      <c r="C347" s="5">
        <v>538.07000000000005</v>
      </c>
      <c r="D347" s="5">
        <v>297.0892308</v>
      </c>
      <c r="E347" s="5">
        <v>58.579230770000002</v>
      </c>
      <c r="F347" s="5">
        <v>22.94230769</v>
      </c>
      <c r="G347" s="5">
        <v>24.041538460000002</v>
      </c>
      <c r="H347" s="5">
        <v>1385.4238459999999</v>
      </c>
      <c r="I347" s="5">
        <v>2.3184615380000002</v>
      </c>
      <c r="J347" s="5" t="s">
        <v>16</v>
      </c>
    </row>
    <row r="348" spans="1:10" ht="12.75" x14ac:dyDescent="0.2">
      <c r="A348" s="5" t="s">
        <v>35</v>
      </c>
      <c r="B348" s="5">
        <v>2021</v>
      </c>
      <c r="C348" s="5">
        <v>468.44749999999999</v>
      </c>
      <c r="D348" s="5">
        <v>295.705625</v>
      </c>
      <c r="E348" s="5">
        <v>51.282499999999999</v>
      </c>
      <c r="F348" s="5">
        <v>30.130624999999998</v>
      </c>
      <c r="G348" s="5">
        <v>26.577500000000001</v>
      </c>
      <c r="H348" s="5">
        <v>1269.8518750000001</v>
      </c>
      <c r="I348" s="5">
        <v>2.5387499999999998</v>
      </c>
      <c r="J348" s="5" t="s">
        <v>16</v>
      </c>
    </row>
    <row r="349" spans="1:10" ht="12.75" x14ac:dyDescent="0.2">
      <c r="A349" s="5" t="s">
        <v>35</v>
      </c>
      <c r="B349" s="5">
        <v>2022</v>
      </c>
      <c r="C349" s="5">
        <v>586.47785710000005</v>
      </c>
      <c r="D349" s="5">
        <v>278.36857140000001</v>
      </c>
      <c r="E349" s="5">
        <v>44.127142859999999</v>
      </c>
      <c r="F349" s="5">
        <v>27.602857140000001</v>
      </c>
      <c r="G349" s="5">
        <v>26.625</v>
      </c>
      <c r="H349" s="5">
        <v>1267.151429</v>
      </c>
      <c r="I349" s="5">
        <v>2.165714286</v>
      </c>
      <c r="J349" s="5" t="s">
        <v>16</v>
      </c>
    </row>
    <row r="350" spans="1:10" ht="12.75" x14ac:dyDescent="0.2">
      <c r="A350" s="5" t="s">
        <v>35</v>
      </c>
      <c r="B350" s="5">
        <v>2023</v>
      </c>
      <c r="C350" s="5">
        <v>604.98</v>
      </c>
      <c r="D350" s="5">
        <v>268.14999999999998</v>
      </c>
      <c r="E350" s="5">
        <v>46.628</v>
      </c>
      <c r="F350" s="5">
        <v>34.143999999999998</v>
      </c>
      <c r="G350" s="5">
        <v>23.651</v>
      </c>
      <c r="H350" s="5">
        <v>1506.5940000000001</v>
      </c>
      <c r="I350" s="5">
        <v>2.4849999999999999</v>
      </c>
      <c r="J350" s="5" t="s">
        <v>16</v>
      </c>
    </row>
    <row r="351" spans="1:10" ht="12.75" x14ac:dyDescent="0.2">
      <c r="A351" s="5" t="s">
        <v>35</v>
      </c>
      <c r="B351" s="5">
        <v>2024</v>
      </c>
      <c r="C351" s="5">
        <v>555.24857139999995</v>
      </c>
      <c r="D351" s="5">
        <v>252.7157143</v>
      </c>
      <c r="E351" s="5">
        <v>39.880000000000003</v>
      </c>
      <c r="F351" s="5">
        <v>24.56142857</v>
      </c>
      <c r="G351" s="5">
        <v>29.477142860000001</v>
      </c>
      <c r="H351" s="5">
        <v>1532.972857</v>
      </c>
      <c r="I351" s="5">
        <v>2.875714286</v>
      </c>
      <c r="J351" s="5" t="s">
        <v>16</v>
      </c>
    </row>
    <row r="352" spans="1:10" ht="12.75" x14ac:dyDescent="0.2">
      <c r="A352" s="5" t="s">
        <v>63</v>
      </c>
      <c r="B352" s="5">
        <v>2000</v>
      </c>
      <c r="C352" s="5">
        <v>564.89625000000001</v>
      </c>
      <c r="D352" s="5">
        <v>222.86875000000001</v>
      </c>
      <c r="E352" s="5">
        <v>59.771250000000002</v>
      </c>
      <c r="F352" s="5">
        <v>28.732500000000002</v>
      </c>
      <c r="G352" s="5">
        <v>24.2925</v>
      </c>
      <c r="H352" s="5">
        <v>1307.8325</v>
      </c>
      <c r="I352" s="5">
        <v>2.9387500000000002</v>
      </c>
      <c r="J352" s="5" t="s">
        <v>16</v>
      </c>
    </row>
    <row r="353" spans="1:10" ht="12.75" x14ac:dyDescent="0.2">
      <c r="A353" s="5" t="s">
        <v>63</v>
      </c>
      <c r="B353" s="5">
        <v>2001</v>
      </c>
      <c r="C353" s="5">
        <v>483.81833330000001</v>
      </c>
      <c r="D353" s="5">
        <v>222.9291667</v>
      </c>
      <c r="E353" s="5">
        <v>55.932499999999997</v>
      </c>
      <c r="F353" s="5">
        <v>24.05083333</v>
      </c>
      <c r="G353" s="5">
        <v>24.9725</v>
      </c>
      <c r="H353" s="5">
        <v>1399.2333329999999</v>
      </c>
      <c r="I353" s="5">
        <v>2.1775000000000002</v>
      </c>
      <c r="J353" s="5" t="s">
        <v>16</v>
      </c>
    </row>
    <row r="354" spans="1:10" ht="12.75" x14ac:dyDescent="0.2">
      <c r="A354" s="5" t="s">
        <v>63</v>
      </c>
      <c r="B354" s="5">
        <v>2002</v>
      </c>
      <c r="C354" s="5">
        <v>552.56666670000004</v>
      </c>
      <c r="D354" s="5">
        <v>346.84166670000002</v>
      </c>
      <c r="E354" s="5">
        <v>45.35916667</v>
      </c>
      <c r="F354" s="5">
        <v>33.619999999999997</v>
      </c>
      <c r="G354" s="5">
        <v>19.69166667</v>
      </c>
      <c r="H354" s="5">
        <v>1536.1208329999999</v>
      </c>
      <c r="I354" s="5">
        <v>2.5249999999999999</v>
      </c>
      <c r="J354" s="5" t="s">
        <v>25</v>
      </c>
    </row>
    <row r="355" spans="1:10" ht="12.75" x14ac:dyDescent="0.2">
      <c r="A355" s="5" t="s">
        <v>63</v>
      </c>
      <c r="B355" s="5">
        <v>2003</v>
      </c>
      <c r="C355" s="5">
        <v>438.2535714</v>
      </c>
      <c r="D355" s="5">
        <v>303.64928570000001</v>
      </c>
      <c r="E355" s="5">
        <v>51.80285714</v>
      </c>
      <c r="F355" s="5">
        <v>26.579285710000001</v>
      </c>
      <c r="G355" s="5">
        <v>27.45</v>
      </c>
      <c r="H355" s="5">
        <v>1831.347143</v>
      </c>
      <c r="I355" s="5">
        <v>2.9671428569999998</v>
      </c>
      <c r="J355" s="5" t="s">
        <v>25</v>
      </c>
    </row>
    <row r="356" spans="1:10" ht="12.75" x14ac:dyDescent="0.2">
      <c r="A356" s="5" t="s">
        <v>63</v>
      </c>
      <c r="B356" s="5">
        <v>2004</v>
      </c>
      <c r="C356" s="5">
        <v>646.95214290000001</v>
      </c>
      <c r="D356" s="5">
        <v>326.59714289999999</v>
      </c>
      <c r="E356" s="5">
        <v>54.742857139999998</v>
      </c>
      <c r="F356" s="5">
        <v>23.07857143</v>
      </c>
      <c r="G356" s="5">
        <v>22.617857140000002</v>
      </c>
      <c r="H356" s="5">
        <v>1172.892143</v>
      </c>
      <c r="I356" s="5">
        <v>2.7342857139999999</v>
      </c>
      <c r="J356" s="5" t="s">
        <v>25</v>
      </c>
    </row>
    <row r="357" spans="1:10" ht="12.75" x14ac:dyDescent="0.2">
      <c r="A357" s="5" t="s">
        <v>63</v>
      </c>
      <c r="B357" s="5">
        <v>2005</v>
      </c>
      <c r="C357" s="5">
        <v>429.73538459999997</v>
      </c>
      <c r="D357" s="5">
        <v>253.53846150000001</v>
      </c>
      <c r="E357" s="5">
        <v>52.690769230000001</v>
      </c>
      <c r="F357" s="5">
        <v>26.683076920000001</v>
      </c>
      <c r="G357" s="5">
        <v>25.66</v>
      </c>
      <c r="H357" s="5">
        <v>1368.123846</v>
      </c>
      <c r="I357" s="5">
        <v>2.131538462</v>
      </c>
      <c r="J357" s="5" t="s">
        <v>16</v>
      </c>
    </row>
    <row r="358" spans="1:10" ht="12.75" x14ac:dyDescent="0.2">
      <c r="A358" s="5" t="s">
        <v>63</v>
      </c>
      <c r="B358" s="5">
        <v>2006</v>
      </c>
      <c r="C358" s="5">
        <v>448.46625</v>
      </c>
      <c r="D358" s="5">
        <v>300.90625</v>
      </c>
      <c r="E358" s="5">
        <v>54.638750000000002</v>
      </c>
      <c r="F358" s="5">
        <v>24.47625</v>
      </c>
      <c r="G358" s="5">
        <v>28.56</v>
      </c>
      <c r="H358" s="5">
        <v>1211.6925000000001</v>
      </c>
      <c r="I358" s="5">
        <v>2.165</v>
      </c>
      <c r="J358" s="5" t="s">
        <v>25</v>
      </c>
    </row>
    <row r="359" spans="1:10" ht="12.75" x14ac:dyDescent="0.2">
      <c r="A359" s="5" t="s">
        <v>63</v>
      </c>
      <c r="B359" s="5">
        <v>2007</v>
      </c>
      <c r="C359" s="5">
        <v>502.8681818</v>
      </c>
      <c r="D359" s="5">
        <v>216.2763636</v>
      </c>
      <c r="E359" s="5">
        <v>56.732727269999998</v>
      </c>
      <c r="F359" s="5">
        <v>26.29181818</v>
      </c>
      <c r="G359" s="5">
        <v>23.29</v>
      </c>
      <c r="H359" s="5">
        <v>1805.447273</v>
      </c>
      <c r="I359" s="5">
        <v>2.5163636359999999</v>
      </c>
      <c r="J359" s="5" t="s">
        <v>16</v>
      </c>
    </row>
    <row r="360" spans="1:10" ht="12.75" x14ac:dyDescent="0.2">
      <c r="A360" s="5" t="s">
        <v>63</v>
      </c>
      <c r="B360" s="5">
        <v>2008</v>
      </c>
      <c r="C360" s="5">
        <v>620.50250000000005</v>
      </c>
      <c r="D360" s="5">
        <v>270.22874999999999</v>
      </c>
      <c r="E360" s="5">
        <v>49.766249999999999</v>
      </c>
      <c r="F360" s="5">
        <v>27.306249999999999</v>
      </c>
      <c r="G360" s="5">
        <v>26.833749999999998</v>
      </c>
      <c r="H360" s="5">
        <v>1197.5962500000001</v>
      </c>
      <c r="I360" s="5">
        <v>2.8374999999999999</v>
      </c>
      <c r="J360" s="5" t="s">
        <v>16</v>
      </c>
    </row>
    <row r="361" spans="1:10" ht="12.75" x14ac:dyDescent="0.2">
      <c r="A361" s="5" t="s">
        <v>63</v>
      </c>
      <c r="B361" s="5">
        <v>2009</v>
      </c>
      <c r="C361" s="5">
        <v>420.5491667</v>
      </c>
      <c r="D361" s="5">
        <v>255.0675</v>
      </c>
      <c r="E361" s="5">
        <v>43.348333330000003</v>
      </c>
      <c r="F361" s="5">
        <v>37.561666670000001</v>
      </c>
      <c r="G361" s="5">
        <v>22.661666669999999</v>
      </c>
      <c r="H361" s="5">
        <v>1195.989167</v>
      </c>
      <c r="I361" s="5">
        <v>2.8708333330000002</v>
      </c>
      <c r="J361" s="5" t="s">
        <v>16</v>
      </c>
    </row>
    <row r="362" spans="1:10" ht="12.75" x14ac:dyDescent="0.2">
      <c r="A362" s="5" t="s">
        <v>63</v>
      </c>
      <c r="B362" s="5">
        <v>2010</v>
      </c>
      <c r="C362" s="5">
        <v>488.04333329999997</v>
      </c>
      <c r="D362" s="5">
        <v>242.8533333</v>
      </c>
      <c r="E362" s="5">
        <v>51.508888890000001</v>
      </c>
      <c r="F362" s="5">
        <v>31.596666670000001</v>
      </c>
      <c r="G362" s="5">
        <v>26.264444439999998</v>
      </c>
      <c r="H362" s="5">
        <v>1576.416667</v>
      </c>
      <c r="I362" s="5">
        <v>2.1233333330000002</v>
      </c>
      <c r="J362" s="5" t="s">
        <v>16</v>
      </c>
    </row>
    <row r="363" spans="1:10" ht="12.75" x14ac:dyDescent="0.2">
      <c r="A363" s="5" t="s">
        <v>63</v>
      </c>
      <c r="B363" s="5">
        <v>2011</v>
      </c>
      <c r="C363" s="5">
        <v>372.46125000000001</v>
      </c>
      <c r="D363" s="5">
        <v>274.66374999999999</v>
      </c>
      <c r="E363" s="5">
        <v>41.35125</v>
      </c>
      <c r="F363" s="5">
        <v>29.61</v>
      </c>
      <c r="G363" s="5">
        <v>29.342500000000001</v>
      </c>
      <c r="H363" s="5">
        <v>1562.10625</v>
      </c>
      <c r="I363" s="5">
        <v>1.3</v>
      </c>
      <c r="J363" s="5" t="s">
        <v>16</v>
      </c>
    </row>
    <row r="364" spans="1:10" ht="12.75" x14ac:dyDescent="0.2">
      <c r="A364" s="5" t="s">
        <v>63</v>
      </c>
      <c r="B364" s="5">
        <v>2012</v>
      </c>
      <c r="C364" s="5">
        <v>427.93083330000002</v>
      </c>
      <c r="D364" s="5">
        <v>246.64</v>
      </c>
      <c r="E364" s="5">
        <v>54.659166669999998</v>
      </c>
      <c r="F364" s="5">
        <v>30.534166670000001</v>
      </c>
      <c r="G364" s="5">
        <v>23.329166669999999</v>
      </c>
      <c r="H364" s="5">
        <v>1819.49</v>
      </c>
      <c r="I364" s="5">
        <v>2.869166667</v>
      </c>
      <c r="J364" s="5" t="s">
        <v>16</v>
      </c>
    </row>
    <row r="365" spans="1:10" ht="12.75" x14ac:dyDescent="0.2">
      <c r="A365" s="5" t="s">
        <v>63</v>
      </c>
      <c r="B365" s="5">
        <v>2013</v>
      </c>
      <c r="C365" s="5">
        <v>661.91700000000003</v>
      </c>
      <c r="D365" s="5">
        <v>259.63799999999998</v>
      </c>
      <c r="E365" s="5">
        <v>60.728000000000002</v>
      </c>
      <c r="F365" s="5">
        <v>31.780999999999999</v>
      </c>
      <c r="G365" s="5">
        <v>23.327999999999999</v>
      </c>
      <c r="H365" s="5">
        <v>1845.4110000000001</v>
      </c>
      <c r="I365" s="5">
        <v>2.2559999999999998</v>
      </c>
      <c r="J365" s="5" t="s">
        <v>16</v>
      </c>
    </row>
    <row r="366" spans="1:10" ht="12.75" x14ac:dyDescent="0.2">
      <c r="A366" s="5" t="s">
        <v>63</v>
      </c>
      <c r="B366" s="5">
        <v>2014</v>
      </c>
      <c r="C366" s="5">
        <v>514.50230769999996</v>
      </c>
      <c r="D366" s="5">
        <v>269.49230770000003</v>
      </c>
      <c r="E366" s="5">
        <v>49.323846150000001</v>
      </c>
      <c r="F366" s="5">
        <v>34.040769230000002</v>
      </c>
      <c r="G366" s="5">
        <v>28.53846154</v>
      </c>
      <c r="H366" s="5">
        <v>1781.4123079999999</v>
      </c>
      <c r="I366" s="5">
        <v>2.616153846</v>
      </c>
      <c r="J366" s="5" t="s">
        <v>16</v>
      </c>
    </row>
    <row r="367" spans="1:10" ht="12.75" x14ac:dyDescent="0.2">
      <c r="A367" s="5" t="s">
        <v>63</v>
      </c>
      <c r="B367" s="5">
        <v>2015</v>
      </c>
      <c r="C367" s="5">
        <v>524.78</v>
      </c>
      <c r="D367" s="5">
        <v>268.32571430000002</v>
      </c>
      <c r="E367" s="5">
        <v>56.29</v>
      </c>
      <c r="F367" s="5">
        <v>33.034285709999999</v>
      </c>
      <c r="G367" s="5">
        <v>17.94714286</v>
      </c>
      <c r="H367" s="5">
        <v>1429.378571</v>
      </c>
      <c r="I367" s="5">
        <v>3.1757142859999998</v>
      </c>
      <c r="J367" s="5" t="s">
        <v>16</v>
      </c>
    </row>
    <row r="368" spans="1:10" ht="12.75" x14ac:dyDescent="0.2">
      <c r="A368" s="5" t="s">
        <v>63</v>
      </c>
      <c r="B368" s="5">
        <v>2016</v>
      </c>
      <c r="C368" s="5">
        <v>557.49222220000001</v>
      </c>
      <c r="D368" s="5">
        <v>276.4855556</v>
      </c>
      <c r="E368" s="5">
        <v>51.851111109999998</v>
      </c>
      <c r="F368" s="5">
        <v>28.98</v>
      </c>
      <c r="G368" s="5">
        <v>27.721111109999999</v>
      </c>
      <c r="H368" s="5">
        <v>1439.0222220000001</v>
      </c>
      <c r="I368" s="5">
        <v>2.6033333330000001</v>
      </c>
      <c r="J368" s="5" t="s">
        <v>16</v>
      </c>
    </row>
    <row r="369" spans="1:10" ht="12.75" x14ac:dyDescent="0.2">
      <c r="A369" s="5" t="s">
        <v>63</v>
      </c>
      <c r="B369" s="5">
        <v>2017</v>
      </c>
      <c r="C369" s="5">
        <v>565.16600000000005</v>
      </c>
      <c r="D369" s="5">
        <v>271.16333329999998</v>
      </c>
      <c r="E369" s="5">
        <v>45.33133333</v>
      </c>
      <c r="F369" s="5">
        <v>27.152666669999999</v>
      </c>
      <c r="G369" s="5">
        <v>24.33666667</v>
      </c>
      <c r="H369" s="5">
        <v>1106.3699999999999</v>
      </c>
      <c r="I369" s="5">
        <v>2.7953333329999999</v>
      </c>
      <c r="J369" s="5" t="s">
        <v>16</v>
      </c>
    </row>
    <row r="370" spans="1:10" ht="12.75" x14ac:dyDescent="0.2">
      <c r="A370" s="5" t="s">
        <v>63</v>
      </c>
      <c r="B370" s="5">
        <v>2018</v>
      </c>
      <c r="C370" s="5">
        <v>545.22090909999997</v>
      </c>
      <c r="D370" s="5">
        <v>302.39999999999998</v>
      </c>
      <c r="E370" s="5">
        <v>42.97272727</v>
      </c>
      <c r="F370" s="5">
        <v>26.962727269999998</v>
      </c>
      <c r="G370" s="5">
        <v>20.84</v>
      </c>
      <c r="H370" s="5">
        <v>1396.296364</v>
      </c>
      <c r="I370" s="5">
        <v>2.8727272730000002</v>
      </c>
      <c r="J370" s="5" t="s">
        <v>25</v>
      </c>
    </row>
    <row r="371" spans="1:10" ht="12.75" x14ac:dyDescent="0.2">
      <c r="A371" s="5" t="s">
        <v>63</v>
      </c>
      <c r="B371" s="5">
        <v>2019</v>
      </c>
      <c r="C371" s="5">
        <v>413.9891667</v>
      </c>
      <c r="D371" s="5">
        <v>277.06416669999999</v>
      </c>
      <c r="E371" s="5">
        <v>47.602499999999999</v>
      </c>
      <c r="F371" s="5">
        <v>24.874166670000001</v>
      </c>
      <c r="G371" s="5">
        <v>25.8675</v>
      </c>
      <c r="H371" s="5">
        <v>1802.1183329999999</v>
      </c>
      <c r="I371" s="5">
        <v>2.76</v>
      </c>
      <c r="J371" s="5" t="s">
        <v>16</v>
      </c>
    </row>
    <row r="372" spans="1:10" ht="12.75" x14ac:dyDescent="0.2">
      <c r="A372" s="5" t="s">
        <v>63</v>
      </c>
      <c r="B372" s="5">
        <v>2020</v>
      </c>
      <c r="C372" s="5">
        <v>467.15461540000001</v>
      </c>
      <c r="D372" s="5">
        <v>296.55692310000001</v>
      </c>
      <c r="E372" s="5">
        <v>39.69</v>
      </c>
      <c r="F372" s="5">
        <v>30.16769231</v>
      </c>
      <c r="G372" s="5">
        <v>28.401538460000001</v>
      </c>
      <c r="H372" s="5">
        <v>1696.1161540000001</v>
      </c>
      <c r="I372" s="5">
        <v>2.2146153850000001</v>
      </c>
      <c r="J372" s="5" t="s">
        <v>16</v>
      </c>
    </row>
    <row r="373" spans="1:10" ht="12.75" x14ac:dyDescent="0.2">
      <c r="A373" s="5" t="s">
        <v>63</v>
      </c>
      <c r="B373" s="5">
        <v>2021</v>
      </c>
      <c r="C373" s="5">
        <v>406.21833329999998</v>
      </c>
      <c r="D373" s="5">
        <v>281.54750000000001</v>
      </c>
      <c r="E373" s="5">
        <v>46.120833330000004</v>
      </c>
      <c r="F373" s="5">
        <v>27.27</v>
      </c>
      <c r="G373" s="5">
        <v>26.888333329999998</v>
      </c>
      <c r="H373" s="5">
        <v>1598.958333</v>
      </c>
      <c r="I373" s="5">
        <v>2.69</v>
      </c>
      <c r="J373" s="5" t="s">
        <v>16</v>
      </c>
    </row>
    <row r="374" spans="1:10" ht="12.75" x14ac:dyDescent="0.2">
      <c r="A374" s="5" t="s">
        <v>63</v>
      </c>
      <c r="B374" s="5">
        <v>2022</v>
      </c>
      <c r="C374" s="5">
        <v>442.74111110000001</v>
      </c>
      <c r="D374" s="5">
        <v>268.53888890000002</v>
      </c>
      <c r="E374" s="5">
        <v>46.312222220000002</v>
      </c>
      <c r="F374" s="5">
        <v>20.355555559999999</v>
      </c>
      <c r="G374" s="5">
        <v>25.665555560000001</v>
      </c>
      <c r="H374" s="5">
        <v>1790.444444</v>
      </c>
      <c r="I374" s="5">
        <v>2.9333333330000002</v>
      </c>
      <c r="J374" s="5" t="s">
        <v>16</v>
      </c>
    </row>
    <row r="375" spans="1:10" ht="12.75" x14ac:dyDescent="0.2">
      <c r="A375" s="5" t="s">
        <v>63</v>
      </c>
      <c r="B375" s="5">
        <v>2023</v>
      </c>
      <c r="C375" s="5">
        <v>538.96900000000005</v>
      </c>
      <c r="D375" s="5">
        <v>326.67200000000003</v>
      </c>
      <c r="E375" s="5">
        <v>50.207000000000001</v>
      </c>
      <c r="F375" s="5">
        <v>34.790999999999997</v>
      </c>
      <c r="G375" s="5">
        <v>19.434000000000001</v>
      </c>
      <c r="H375" s="5">
        <v>1243.5719999999999</v>
      </c>
      <c r="I375" s="5">
        <v>2.0059999999999998</v>
      </c>
      <c r="J375" s="5" t="s">
        <v>25</v>
      </c>
    </row>
    <row r="376" spans="1:10" ht="12.75" x14ac:dyDescent="0.2">
      <c r="A376" s="5" t="s">
        <v>63</v>
      </c>
      <c r="B376" s="5">
        <v>2024</v>
      </c>
      <c r="C376" s="5">
        <v>509.7363636</v>
      </c>
      <c r="D376" s="5">
        <v>274.9863636</v>
      </c>
      <c r="E376" s="5">
        <v>58.009090909999998</v>
      </c>
      <c r="F376" s="5">
        <v>27.646363640000001</v>
      </c>
      <c r="G376" s="5">
        <v>23.33454545</v>
      </c>
      <c r="H376" s="5">
        <v>1101.151818</v>
      </c>
      <c r="I376" s="5">
        <v>2.6245454549999998</v>
      </c>
      <c r="J376" s="5" t="s">
        <v>16</v>
      </c>
    </row>
    <row r="377" spans="1:10" ht="12.75" x14ac:dyDescent="0.2">
      <c r="A377" s="5" t="s">
        <v>64</v>
      </c>
      <c r="B377" s="5">
        <v>2000</v>
      </c>
      <c r="C377" s="5">
        <v>447.87625000000003</v>
      </c>
      <c r="D377" s="5">
        <v>271.56625000000003</v>
      </c>
      <c r="E377" s="5">
        <v>50.311250000000001</v>
      </c>
      <c r="F377" s="5">
        <v>28.532499999999999</v>
      </c>
      <c r="G377" s="5">
        <v>21.633749999999999</v>
      </c>
      <c r="H377" s="5">
        <v>1867.5875000000001</v>
      </c>
      <c r="I377" s="5">
        <v>2.5387499999999998</v>
      </c>
      <c r="J377" s="5" t="s">
        <v>16</v>
      </c>
    </row>
    <row r="378" spans="1:10" ht="12.75" x14ac:dyDescent="0.2">
      <c r="A378" s="5" t="s">
        <v>64</v>
      </c>
      <c r="B378" s="5">
        <v>2001</v>
      </c>
      <c r="C378" s="5">
        <v>377.97500000000002</v>
      </c>
      <c r="D378" s="5">
        <v>285.6383333</v>
      </c>
      <c r="E378" s="5">
        <v>57.638333330000002</v>
      </c>
      <c r="F378" s="5">
        <v>29.36</v>
      </c>
      <c r="G378" s="5">
        <v>32.659999999999997</v>
      </c>
      <c r="H378" s="5">
        <v>1303.7650000000001</v>
      </c>
      <c r="I378" s="5">
        <v>3.048333333</v>
      </c>
      <c r="J378" s="5" t="s">
        <v>16</v>
      </c>
    </row>
    <row r="379" spans="1:10" ht="12.75" x14ac:dyDescent="0.2">
      <c r="A379" s="5" t="s">
        <v>64</v>
      </c>
      <c r="B379" s="5">
        <v>2002</v>
      </c>
      <c r="C379" s="5">
        <v>489.72437500000001</v>
      </c>
      <c r="D379" s="5">
        <v>254.40312499999999</v>
      </c>
      <c r="E379" s="5">
        <v>51.043750000000003</v>
      </c>
      <c r="F379" s="5">
        <v>22.389375000000001</v>
      </c>
      <c r="G379" s="5">
        <v>25.184374999999999</v>
      </c>
      <c r="H379" s="5">
        <v>1301.1312499999999</v>
      </c>
      <c r="I379" s="5">
        <v>1.9524999999999999</v>
      </c>
      <c r="J379" s="5" t="s">
        <v>16</v>
      </c>
    </row>
    <row r="380" spans="1:10" ht="12.75" x14ac:dyDescent="0.2">
      <c r="A380" s="5" t="s">
        <v>64</v>
      </c>
      <c r="B380" s="5">
        <v>2003</v>
      </c>
      <c r="C380" s="5">
        <v>615.35500000000002</v>
      </c>
      <c r="D380" s="5">
        <v>266.08999999999997</v>
      </c>
      <c r="E380" s="5">
        <v>47.998750000000001</v>
      </c>
      <c r="F380" s="5">
        <v>26.0825</v>
      </c>
      <c r="G380" s="5">
        <v>18.510000000000002</v>
      </c>
      <c r="H380" s="5">
        <v>1228.6937499999999</v>
      </c>
      <c r="I380" s="5">
        <v>2.7174999999999998</v>
      </c>
      <c r="J380" s="5" t="s">
        <v>16</v>
      </c>
    </row>
    <row r="381" spans="1:10" ht="12.75" x14ac:dyDescent="0.2">
      <c r="A381" s="5" t="s">
        <v>64</v>
      </c>
      <c r="B381" s="5">
        <v>2004</v>
      </c>
      <c r="C381" s="5">
        <v>515.95230770000001</v>
      </c>
      <c r="D381" s="5">
        <v>313.8392308</v>
      </c>
      <c r="E381" s="5">
        <v>48.879230769999999</v>
      </c>
      <c r="F381" s="5">
        <v>25.21153846</v>
      </c>
      <c r="G381" s="5">
        <v>25.646153850000001</v>
      </c>
      <c r="H381" s="5">
        <v>1530.7230770000001</v>
      </c>
      <c r="I381" s="5">
        <v>3.3776923079999999</v>
      </c>
      <c r="J381" s="5" t="s">
        <v>25</v>
      </c>
    </row>
    <row r="382" spans="1:10" ht="12.75" x14ac:dyDescent="0.2">
      <c r="A382" s="5" t="s">
        <v>64</v>
      </c>
      <c r="B382" s="5">
        <v>2005</v>
      </c>
      <c r="C382" s="5">
        <v>508.27499999999998</v>
      </c>
      <c r="D382" s="5">
        <v>230.87875</v>
      </c>
      <c r="E382" s="5">
        <v>41.505000000000003</v>
      </c>
      <c r="F382" s="5">
        <v>30.067499999999999</v>
      </c>
      <c r="G382" s="5">
        <v>24.478750000000002</v>
      </c>
      <c r="H382" s="5">
        <v>1712.5775000000001</v>
      </c>
      <c r="I382" s="5">
        <v>3.17625</v>
      </c>
      <c r="J382" s="5" t="s">
        <v>16</v>
      </c>
    </row>
    <row r="383" spans="1:10" ht="12.75" x14ac:dyDescent="0.2">
      <c r="A383" s="5" t="s">
        <v>64</v>
      </c>
      <c r="B383" s="5">
        <v>2006</v>
      </c>
      <c r="C383" s="5">
        <v>445.81400000000002</v>
      </c>
      <c r="D383" s="5">
        <v>276.18400000000003</v>
      </c>
      <c r="E383" s="5">
        <v>51.576000000000001</v>
      </c>
      <c r="F383" s="5">
        <v>23.241</v>
      </c>
      <c r="G383" s="5">
        <v>27.734999999999999</v>
      </c>
      <c r="H383" s="5">
        <v>1364.556</v>
      </c>
      <c r="I383" s="5">
        <v>2.39</v>
      </c>
      <c r="J383" s="5" t="s">
        <v>16</v>
      </c>
    </row>
    <row r="384" spans="1:10" ht="12.75" x14ac:dyDescent="0.2">
      <c r="A384" s="5" t="s">
        <v>64</v>
      </c>
      <c r="B384" s="5">
        <v>2007</v>
      </c>
      <c r="C384" s="5">
        <v>494.99272730000001</v>
      </c>
      <c r="D384" s="5">
        <v>271.04181820000002</v>
      </c>
      <c r="E384" s="5">
        <v>53.448181820000002</v>
      </c>
      <c r="F384" s="5">
        <v>27.149090910000002</v>
      </c>
      <c r="G384" s="5">
        <v>25.5</v>
      </c>
      <c r="H384" s="5">
        <v>1545.437273</v>
      </c>
      <c r="I384" s="5">
        <v>2.4390909089999999</v>
      </c>
      <c r="J384" s="5" t="s">
        <v>16</v>
      </c>
    </row>
    <row r="385" spans="1:10" ht="12.75" x14ac:dyDescent="0.2">
      <c r="A385" s="5" t="s">
        <v>64</v>
      </c>
      <c r="B385" s="5">
        <v>2008</v>
      </c>
      <c r="C385" s="5">
        <v>509.60399999999998</v>
      </c>
      <c r="D385" s="5">
        <v>276.07299999999998</v>
      </c>
      <c r="E385" s="5">
        <v>55.399000000000001</v>
      </c>
      <c r="F385" s="5">
        <v>28.228999999999999</v>
      </c>
      <c r="G385" s="5">
        <v>23.547000000000001</v>
      </c>
      <c r="H385" s="5">
        <v>1334.9059999999999</v>
      </c>
      <c r="I385" s="5">
        <v>2.6429999999999998</v>
      </c>
      <c r="J385" s="5" t="s">
        <v>16</v>
      </c>
    </row>
    <row r="386" spans="1:10" ht="12.75" x14ac:dyDescent="0.2">
      <c r="A386" s="5" t="s">
        <v>64</v>
      </c>
      <c r="B386" s="5">
        <v>2009</v>
      </c>
      <c r="C386" s="5">
        <v>437.71100000000001</v>
      </c>
      <c r="D386" s="5">
        <v>281.476</v>
      </c>
      <c r="E386" s="5">
        <v>53.947000000000003</v>
      </c>
      <c r="F386" s="5">
        <v>31.331</v>
      </c>
      <c r="G386" s="5">
        <v>26.484000000000002</v>
      </c>
      <c r="H386" s="5">
        <v>1042.2380000000001</v>
      </c>
      <c r="I386" s="5">
        <v>1.718</v>
      </c>
      <c r="J386" s="5" t="s">
        <v>16</v>
      </c>
    </row>
    <row r="387" spans="1:10" ht="12.75" x14ac:dyDescent="0.2">
      <c r="A387" s="5" t="s">
        <v>64</v>
      </c>
      <c r="B387" s="5">
        <v>2010</v>
      </c>
      <c r="C387" s="5">
        <v>605.08900000000006</v>
      </c>
      <c r="D387" s="5">
        <v>231.14099999999999</v>
      </c>
      <c r="E387" s="5">
        <v>51.018000000000001</v>
      </c>
      <c r="F387" s="5">
        <v>25.201000000000001</v>
      </c>
      <c r="G387" s="5">
        <v>21.259</v>
      </c>
      <c r="H387" s="5">
        <v>1282.538</v>
      </c>
      <c r="I387" s="5">
        <v>2.5030000000000001</v>
      </c>
      <c r="J387" s="5" t="s">
        <v>16</v>
      </c>
    </row>
    <row r="388" spans="1:10" ht="12.75" x14ac:dyDescent="0.2">
      <c r="A388" s="5" t="s">
        <v>64</v>
      </c>
      <c r="B388" s="5">
        <v>2011</v>
      </c>
      <c r="C388" s="5">
        <v>397.73599999999999</v>
      </c>
      <c r="D388" s="5">
        <v>299.13900000000001</v>
      </c>
      <c r="E388" s="5">
        <v>44.631999999999998</v>
      </c>
      <c r="F388" s="5">
        <v>22.05</v>
      </c>
      <c r="G388" s="5">
        <v>20.248999999999999</v>
      </c>
      <c r="H388" s="5">
        <v>1682.943</v>
      </c>
      <c r="I388" s="5">
        <v>2.6579999999999999</v>
      </c>
      <c r="J388" s="5" t="s">
        <v>16</v>
      </c>
    </row>
    <row r="389" spans="1:10" ht="12.75" x14ac:dyDescent="0.2">
      <c r="A389" s="5" t="s">
        <v>64</v>
      </c>
      <c r="B389" s="5">
        <v>2012</v>
      </c>
      <c r="C389" s="5">
        <v>563.15416670000002</v>
      </c>
      <c r="D389" s="5">
        <v>276.36750000000001</v>
      </c>
      <c r="E389" s="5">
        <v>46.965000000000003</v>
      </c>
      <c r="F389" s="5">
        <v>27.2075</v>
      </c>
      <c r="G389" s="5">
        <v>28.70333333</v>
      </c>
      <c r="H389" s="5">
        <v>1405.616667</v>
      </c>
      <c r="I389" s="5">
        <v>2.3533333330000001</v>
      </c>
      <c r="J389" s="5" t="s">
        <v>16</v>
      </c>
    </row>
    <row r="390" spans="1:10" ht="12.75" x14ac:dyDescent="0.2">
      <c r="A390" s="5" t="s">
        <v>64</v>
      </c>
      <c r="B390" s="5">
        <v>2013</v>
      </c>
      <c r="C390" s="5">
        <v>477.48333330000003</v>
      </c>
      <c r="D390" s="5">
        <v>279.48333330000003</v>
      </c>
      <c r="E390" s="5">
        <v>49.164999999999999</v>
      </c>
      <c r="F390" s="5">
        <v>27.126666669999999</v>
      </c>
      <c r="G390" s="5">
        <v>25.853333330000002</v>
      </c>
      <c r="H390" s="5">
        <v>1768.771667</v>
      </c>
      <c r="I390" s="5">
        <v>2.4466666670000001</v>
      </c>
      <c r="J390" s="5" t="s">
        <v>16</v>
      </c>
    </row>
    <row r="391" spans="1:10" ht="12.75" x14ac:dyDescent="0.2">
      <c r="A391" s="5" t="s">
        <v>64</v>
      </c>
      <c r="B391" s="5">
        <v>2014</v>
      </c>
      <c r="C391" s="5">
        <v>502.60199999999998</v>
      </c>
      <c r="D391" s="5">
        <v>278.18666669999999</v>
      </c>
      <c r="E391" s="5">
        <v>43.182000000000002</v>
      </c>
      <c r="F391" s="5">
        <v>22.04933333</v>
      </c>
      <c r="G391" s="5">
        <v>26.643999999999998</v>
      </c>
      <c r="H391" s="5">
        <v>1642.040667</v>
      </c>
      <c r="I391" s="5">
        <v>2.6186666669999998</v>
      </c>
      <c r="J391" s="5" t="s">
        <v>16</v>
      </c>
    </row>
    <row r="392" spans="1:10" ht="12.75" x14ac:dyDescent="0.2">
      <c r="A392" s="5" t="s">
        <v>64</v>
      </c>
      <c r="B392" s="5">
        <v>2015</v>
      </c>
      <c r="C392" s="5">
        <v>283.83749999999998</v>
      </c>
      <c r="D392" s="5">
        <v>313.85500000000002</v>
      </c>
      <c r="E392" s="5">
        <v>51.96</v>
      </c>
      <c r="F392" s="5">
        <v>23.107500000000002</v>
      </c>
      <c r="G392" s="5">
        <v>25.307500000000001</v>
      </c>
      <c r="H392" s="5">
        <v>1203.24</v>
      </c>
      <c r="I392" s="5">
        <v>2.9950000000000001</v>
      </c>
      <c r="J392" s="5" t="s">
        <v>25</v>
      </c>
    </row>
    <row r="393" spans="1:10" ht="12.75" x14ac:dyDescent="0.2">
      <c r="A393" s="5" t="s">
        <v>64</v>
      </c>
      <c r="B393" s="5">
        <v>2016</v>
      </c>
      <c r="C393" s="5">
        <v>469.8236364</v>
      </c>
      <c r="D393" s="5">
        <v>262.66636360000001</v>
      </c>
      <c r="E393" s="5">
        <v>59.670909090000002</v>
      </c>
      <c r="F393" s="5">
        <v>25.905454550000002</v>
      </c>
      <c r="G393" s="5">
        <v>28.732727270000002</v>
      </c>
      <c r="H393" s="5">
        <v>1444.1036360000001</v>
      </c>
      <c r="I393" s="5">
        <v>1.8890909090000001</v>
      </c>
      <c r="J393" s="5" t="s">
        <v>16</v>
      </c>
    </row>
    <row r="394" spans="1:10" ht="12.75" x14ac:dyDescent="0.2">
      <c r="A394" s="5" t="s">
        <v>64</v>
      </c>
      <c r="B394" s="5">
        <v>2017</v>
      </c>
      <c r="C394" s="5">
        <v>485.45499999999998</v>
      </c>
      <c r="D394" s="5">
        <v>360.45833329999999</v>
      </c>
      <c r="E394" s="5">
        <v>54.31</v>
      </c>
      <c r="F394" s="5">
        <v>18.844999999999999</v>
      </c>
      <c r="G394" s="5">
        <v>19</v>
      </c>
      <c r="H394" s="5">
        <v>2071.396667</v>
      </c>
      <c r="I394" s="5">
        <v>2.2316666669999998</v>
      </c>
      <c r="J394" s="5" t="s">
        <v>25</v>
      </c>
    </row>
    <row r="395" spans="1:10" ht="12.75" x14ac:dyDescent="0.2">
      <c r="A395" s="5" t="s">
        <v>64</v>
      </c>
      <c r="B395" s="5">
        <v>2018</v>
      </c>
      <c r="C395" s="5">
        <v>446.39714290000001</v>
      </c>
      <c r="D395" s="5">
        <v>268.315</v>
      </c>
      <c r="E395" s="5">
        <v>47.946428570000002</v>
      </c>
      <c r="F395" s="5">
        <v>24.364999999999998</v>
      </c>
      <c r="G395" s="5">
        <v>23.693571429999999</v>
      </c>
      <c r="H395" s="5">
        <v>1402.076429</v>
      </c>
      <c r="I395" s="5">
        <v>2.4628571429999999</v>
      </c>
      <c r="J395" s="5" t="s">
        <v>16</v>
      </c>
    </row>
    <row r="396" spans="1:10" ht="12.75" x14ac:dyDescent="0.2">
      <c r="A396" s="5" t="s">
        <v>64</v>
      </c>
      <c r="B396" s="5">
        <v>2019</v>
      </c>
      <c r="C396" s="5">
        <v>600.34375</v>
      </c>
      <c r="D396" s="5">
        <v>275.17124999999999</v>
      </c>
      <c r="E396" s="5">
        <v>46.563749999999999</v>
      </c>
      <c r="F396" s="5">
        <v>17.731249999999999</v>
      </c>
      <c r="G396" s="5">
        <v>21.60125</v>
      </c>
      <c r="H396" s="5">
        <v>1257.9625000000001</v>
      </c>
      <c r="I396" s="5">
        <v>3.30125</v>
      </c>
      <c r="J396" s="5" t="s">
        <v>16</v>
      </c>
    </row>
    <row r="397" spans="1:10" ht="12.75" x14ac:dyDescent="0.2">
      <c r="A397" s="5" t="s">
        <v>64</v>
      </c>
      <c r="B397" s="5">
        <v>2020</v>
      </c>
      <c r="C397" s="5">
        <v>625.29875000000004</v>
      </c>
      <c r="D397" s="5">
        <v>298.00125000000003</v>
      </c>
      <c r="E397" s="5">
        <v>42.532499999999999</v>
      </c>
      <c r="F397" s="5">
        <v>22.571249999999999</v>
      </c>
      <c r="G397" s="5">
        <v>26.387499999999999</v>
      </c>
      <c r="H397" s="5">
        <v>1509.5062499999999</v>
      </c>
      <c r="I397" s="5">
        <v>2.2062499999999998</v>
      </c>
      <c r="J397" s="5" t="s">
        <v>16</v>
      </c>
    </row>
    <row r="398" spans="1:10" ht="12.75" x14ac:dyDescent="0.2">
      <c r="A398" s="5" t="s">
        <v>64</v>
      </c>
      <c r="B398" s="5">
        <v>2021</v>
      </c>
      <c r="C398" s="5">
        <v>444.80466669999998</v>
      </c>
      <c r="D398" s="5">
        <v>218.13266669999999</v>
      </c>
      <c r="E398" s="5">
        <v>53.154666669999997</v>
      </c>
      <c r="F398" s="5">
        <v>25.09266667</v>
      </c>
      <c r="G398" s="5">
        <v>21.27266667</v>
      </c>
      <c r="H398" s="5">
        <v>1574.864</v>
      </c>
      <c r="I398" s="5">
        <v>3.3340000000000001</v>
      </c>
      <c r="J398" s="5" t="s">
        <v>16</v>
      </c>
    </row>
    <row r="399" spans="1:10" ht="12.75" x14ac:dyDescent="0.2">
      <c r="A399" s="5" t="s">
        <v>64</v>
      </c>
      <c r="B399" s="5">
        <v>2022</v>
      </c>
      <c r="C399" s="5">
        <v>583.54200000000003</v>
      </c>
      <c r="D399" s="5">
        <v>273.86200000000002</v>
      </c>
      <c r="E399" s="5">
        <v>51.014000000000003</v>
      </c>
      <c r="F399" s="5">
        <v>18.78</v>
      </c>
      <c r="G399" s="5">
        <v>26.411999999999999</v>
      </c>
      <c r="H399" s="5">
        <v>1080.5139999999999</v>
      </c>
      <c r="I399" s="5">
        <v>2.7679999999999998</v>
      </c>
      <c r="J399" s="5" t="s">
        <v>16</v>
      </c>
    </row>
    <row r="400" spans="1:10" ht="12.75" x14ac:dyDescent="0.2">
      <c r="A400" s="5" t="s">
        <v>64</v>
      </c>
      <c r="B400" s="5">
        <v>2023</v>
      </c>
      <c r="C400" s="5">
        <v>295.23399999999998</v>
      </c>
      <c r="D400" s="5">
        <v>284.19</v>
      </c>
      <c r="E400" s="5">
        <v>54.844000000000001</v>
      </c>
      <c r="F400" s="5">
        <v>18.288</v>
      </c>
      <c r="G400" s="5">
        <v>26.738</v>
      </c>
      <c r="H400" s="5">
        <v>1389.482</v>
      </c>
      <c r="I400" s="5">
        <v>2.456</v>
      </c>
      <c r="J400" s="5" t="s">
        <v>16</v>
      </c>
    </row>
    <row r="401" spans="1:10" ht="12.75" x14ac:dyDescent="0.2">
      <c r="A401" s="5" t="s">
        <v>64</v>
      </c>
      <c r="B401" s="5">
        <v>2024</v>
      </c>
      <c r="C401" s="5">
        <v>560.78687500000001</v>
      </c>
      <c r="D401" s="5">
        <v>286.49062500000002</v>
      </c>
      <c r="E401" s="5">
        <v>53.231250000000003</v>
      </c>
      <c r="F401" s="5">
        <v>29.17625</v>
      </c>
      <c r="G401" s="5">
        <v>27.636875</v>
      </c>
      <c r="H401" s="5">
        <v>1174.2681250000001</v>
      </c>
      <c r="I401" s="5">
        <v>1.951875</v>
      </c>
      <c r="J401" s="5" t="s">
        <v>16</v>
      </c>
    </row>
    <row r="402" spans="1:10" ht="12.75" x14ac:dyDescent="0.2">
      <c r="A402" s="5" t="s">
        <v>37</v>
      </c>
      <c r="B402" s="5">
        <v>2000</v>
      </c>
      <c r="C402" s="5">
        <v>529.14499999999998</v>
      </c>
      <c r="D402" s="5">
        <v>279.5625</v>
      </c>
      <c r="E402" s="5">
        <v>56.79666667</v>
      </c>
      <c r="F402" s="5">
        <v>24.39083333</v>
      </c>
      <c r="G402" s="5">
        <v>20.549166670000002</v>
      </c>
      <c r="H402" s="5">
        <v>1787.784167</v>
      </c>
      <c r="I402" s="5">
        <v>3.7991666670000002</v>
      </c>
      <c r="J402" s="5" t="s">
        <v>16</v>
      </c>
    </row>
    <row r="403" spans="1:10" ht="12.75" x14ac:dyDescent="0.2">
      <c r="A403" s="5" t="s">
        <v>37</v>
      </c>
      <c r="B403" s="5">
        <v>2001</v>
      </c>
      <c r="C403" s="5">
        <v>364.05500000000001</v>
      </c>
      <c r="D403" s="5">
        <v>283.69</v>
      </c>
      <c r="E403" s="5">
        <v>43.61</v>
      </c>
      <c r="F403" s="5">
        <v>28.25</v>
      </c>
      <c r="G403" s="5">
        <v>33.594999999999999</v>
      </c>
      <c r="H403" s="5">
        <v>2280.9</v>
      </c>
      <c r="I403" s="5">
        <v>2.145</v>
      </c>
      <c r="J403" s="5" t="s">
        <v>16</v>
      </c>
    </row>
    <row r="404" spans="1:10" ht="12.75" x14ac:dyDescent="0.2">
      <c r="A404" s="5" t="s">
        <v>37</v>
      </c>
      <c r="B404" s="5">
        <v>2002</v>
      </c>
      <c r="C404" s="5">
        <v>456.51714290000001</v>
      </c>
      <c r="D404" s="5">
        <v>261.0685714</v>
      </c>
      <c r="E404" s="5">
        <v>49.284285709999999</v>
      </c>
      <c r="F404" s="5">
        <v>26.34571429</v>
      </c>
      <c r="G404" s="5">
        <v>29.235714290000001</v>
      </c>
      <c r="H404" s="5">
        <v>2238.7614290000001</v>
      </c>
      <c r="I404" s="5">
        <v>1.9914285709999999</v>
      </c>
      <c r="J404" s="5" t="s">
        <v>16</v>
      </c>
    </row>
    <row r="405" spans="1:10" ht="12.75" x14ac:dyDescent="0.2">
      <c r="A405" s="5" t="s">
        <v>37</v>
      </c>
      <c r="B405" s="5">
        <v>2003</v>
      </c>
      <c r="C405" s="5">
        <v>563.67499999999995</v>
      </c>
      <c r="D405" s="5">
        <v>304.28625</v>
      </c>
      <c r="E405" s="5">
        <v>48.207500000000003</v>
      </c>
      <c r="F405" s="5">
        <v>25.147500000000001</v>
      </c>
      <c r="G405" s="5">
        <v>28.153749999999999</v>
      </c>
      <c r="H405" s="5">
        <v>1316.0487499999999</v>
      </c>
      <c r="I405" s="5">
        <v>3.1662499999999998</v>
      </c>
      <c r="J405" s="5" t="s">
        <v>25</v>
      </c>
    </row>
    <row r="406" spans="1:10" ht="12.75" x14ac:dyDescent="0.2">
      <c r="A406" s="5" t="s">
        <v>37</v>
      </c>
      <c r="B406" s="5">
        <v>2004</v>
      </c>
      <c r="C406" s="5">
        <v>636.28166669999996</v>
      </c>
      <c r="D406" s="5">
        <v>282.6116667</v>
      </c>
      <c r="E406" s="5">
        <v>41.668333330000003</v>
      </c>
      <c r="F406" s="5">
        <v>25.626666669999999</v>
      </c>
      <c r="G406" s="5">
        <v>27.361666670000002</v>
      </c>
      <c r="H406" s="5">
        <v>1342.11</v>
      </c>
      <c r="I406" s="5">
        <v>2.21</v>
      </c>
      <c r="J406" s="5" t="s">
        <v>16</v>
      </c>
    </row>
    <row r="407" spans="1:10" ht="12.75" x14ac:dyDescent="0.2">
      <c r="A407" s="5" t="s">
        <v>37</v>
      </c>
      <c r="B407" s="5">
        <v>2005</v>
      </c>
      <c r="C407" s="5">
        <v>425.267</v>
      </c>
      <c r="D407" s="5">
        <v>309.96600000000001</v>
      </c>
      <c r="E407" s="5">
        <v>53.8</v>
      </c>
      <c r="F407" s="5">
        <v>27.783000000000001</v>
      </c>
      <c r="G407" s="5">
        <v>24.803999999999998</v>
      </c>
      <c r="H407" s="5">
        <v>1442.327</v>
      </c>
      <c r="I407" s="5">
        <v>1.9450000000000001</v>
      </c>
      <c r="J407" s="5" t="s">
        <v>25</v>
      </c>
    </row>
    <row r="408" spans="1:10" ht="12.75" x14ac:dyDescent="0.2">
      <c r="A408" s="5" t="s">
        <v>37</v>
      </c>
      <c r="B408" s="5">
        <v>2006</v>
      </c>
      <c r="C408" s="5">
        <v>585.98222220000002</v>
      </c>
      <c r="D408" s="5">
        <v>178.1466667</v>
      </c>
      <c r="E408" s="5">
        <v>48.907777780000004</v>
      </c>
      <c r="F408" s="5">
        <v>23.868888890000001</v>
      </c>
      <c r="G408" s="5">
        <v>22.944444440000002</v>
      </c>
      <c r="H408" s="5">
        <v>1753.6755559999999</v>
      </c>
      <c r="I408" s="5">
        <v>3.0611111110000002</v>
      </c>
      <c r="J408" s="5" t="s">
        <v>28</v>
      </c>
    </row>
    <row r="409" spans="1:10" ht="12.75" x14ac:dyDescent="0.2">
      <c r="A409" s="5" t="s">
        <v>37</v>
      </c>
      <c r="B409" s="5">
        <v>2007</v>
      </c>
      <c r="C409" s="5">
        <v>446.90812499999998</v>
      </c>
      <c r="D409" s="5">
        <v>233.550625</v>
      </c>
      <c r="E409" s="5">
        <v>47.081249999999997</v>
      </c>
      <c r="F409" s="5">
        <v>27.878125000000001</v>
      </c>
      <c r="G409" s="5">
        <v>26.625</v>
      </c>
      <c r="H409" s="5">
        <v>1427.3543749999999</v>
      </c>
      <c r="I409" s="5">
        <v>2.585</v>
      </c>
      <c r="J409" s="5" t="s">
        <v>16</v>
      </c>
    </row>
    <row r="410" spans="1:10" ht="12.75" x14ac:dyDescent="0.2">
      <c r="A410" s="5" t="s">
        <v>37</v>
      </c>
      <c r="B410" s="5">
        <v>2008</v>
      </c>
      <c r="C410" s="5">
        <v>621.08416669999997</v>
      </c>
      <c r="D410" s="5">
        <v>272.03833329999998</v>
      </c>
      <c r="E410" s="5">
        <v>58.8</v>
      </c>
      <c r="F410" s="5">
        <v>21.7775</v>
      </c>
      <c r="G410" s="5">
        <v>29.813333329999999</v>
      </c>
      <c r="H410" s="5">
        <v>1418.294167</v>
      </c>
      <c r="I410" s="5">
        <v>2.7691666669999999</v>
      </c>
      <c r="J410" s="5" t="s">
        <v>16</v>
      </c>
    </row>
    <row r="411" spans="1:10" ht="12.75" x14ac:dyDescent="0.2">
      <c r="A411" s="5" t="s">
        <v>37</v>
      </c>
      <c r="B411" s="5">
        <v>2009</v>
      </c>
      <c r="C411" s="5">
        <v>448.88200000000001</v>
      </c>
      <c r="D411" s="5">
        <v>271.04599999999999</v>
      </c>
      <c r="E411" s="5">
        <v>47.597999999999999</v>
      </c>
      <c r="F411" s="5">
        <v>31.635999999999999</v>
      </c>
      <c r="G411" s="5">
        <v>23.797000000000001</v>
      </c>
      <c r="H411" s="5">
        <v>2202.6219999999998</v>
      </c>
      <c r="I411" s="5">
        <v>3.278</v>
      </c>
      <c r="J411" s="5" t="s">
        <v>16</v>
      </c>
    </row>
    <row r="412" spans="1:10" ht="12.75" x14ac:dyDescent="0.2">
      <c r="A412" s="5" t="s">
        <v>37</v>
      </c>
      <c r="B412" s="5">
        <v>2010</v>
      </c>
      <c r="C412" s="5">
        <v>298.6333333</v>
      </c>
      <c r="D412" s="5">
        <v>266.37222220000001</v>
      </c>
      <c r="E412" s="5">
        <v>45.825555559999998</v>
      </c>
      <c r="F412" s="5">
        <v>18.010000000000002</v>
      </c>
      <c r="G412" s="5">
        <v>25.224444439999999</v>
      </c>
      <c r="H412" s="5">
        <v>1427.8344440000001</v>
      </c>
      <c r="I412" s="5">
        <v>2.1755555559999999</v>
      </c>
      <c r="J412" s="5" t="s">
        <v>16</v>
      </c>
    </row>
    <row r="413" spans="1:10" ht="12.75" x14ac:dyDescent="0.2">
      <c r="A413" s="5" t="s">
        <v>37</v>
      </c>
      <c r="B413" s="5">
        <v>2011</v>
      </c>
      <c r="C413" s="5">
        <v>436.98</v>
      </c>
      <c r="D413" s="5">
        <v>270.69</v>
      </c>
      <c r="E413" s="5">
        <v>56.849090910000001</v>
      </c>
      <c r="F413" s="5">
        <v>25.439090910000001</v>
      </c>
      <c r="G413" s="5">
        <v>24.02636364</v>
      </c>
      <c r="H413" s="5">
        <v>1765.9763640000001</v>
      </c>
      <c r="I413" s="5">
        <v>2.9909090909999998</v>
      </c>
      <c r="J413" s="5" t="s">
        <v>16</v>
      </c>
    </row>
    <row r="414" spans="1:10" ht="12.75" x14ac:dyDescent="0.2">
      <c r="A414" s="5" t="s">
        <v>37</v>
      </c>
      <c r="B414" s="5">
        <v>2012</v>
      </c>
      <c r="C414" s="5">
        <v>434.72</v>
      </c>
      <c r="D414" s="5">
        <v>284.7633333</v>
      </c>
      <c r="E414" s="5">
        <v>47.394444440000001</v>
      </c>
      <c r="F414" s="5">
        <v>26.123333330000001</v>
      </c>
      <c r="G414" s="5">
        <v>23.735555560000002</v>
      </c>
      <c r="H414" s="5">
        <v>1320.36</v>
      </c>
      <c r="I414" s="5">
        <v>3.3511111109999998</v>
      </c>
      <c r="J414" s="5" t="s">
        <v>16</v>
      </c>
    </row>
    <row r="415" spans="1:10" ht="12.75" x14ac:dyDescent="0.2">
      <c r="A415" s="5" t="s">
        <v>37</v>
      </c>
      <c r="B415" s="5">
        <v>2013</v>
      </c>
      <c r="C415" s="5">
        <v>456.13400000000001</v>
      </c>
      <c r="D415" s="5">
        <v>275.08199999999999</v>
      </c>
      <c r="E415" s="5">
        <v>54.408000000000001</v>
      </c>
      <c r="F415" s="5">
        <v>38.93</v>
      </c>
      <c r="G415" s="5">
        <v>25.206</v>
      </c>
      <c r="H415" s="5">
        <v>1576.6420000000001</v>
      </c>
      <c r="I415" s="5">
        <v>2.4159999999999999</v>
      </c>
      <c r="J415" s="5" t="s">
        <v>16</v>
      </c>
    </row>
    <row r="416" spans="1:10" ht="12.75" x14ac:dyDescent="0.2">
      <c r="A416" s="5" t="s">
        <v>37</v>
      </c>
      <c r="B416" s="5">
        <v>2014</v>
      </c>
      <c r="C416" s="5">
        <v>387.32230770000001</v>
      </c>
      <c r="D416" s="5">
        <v>299.06</v>
      </c>
      <c r="E416" s="5">
        <v>47.85846154</v>
      </c>
      <c r="F416" s="5">
        <v>29.887692309999998</v>
      </c>
      <c r="G416" s="5">
        <v>27.814615379999999</v>
      </c>
      <c r="H416" s="5">
        <v>1360.435385</v>
      </c>
      <c r="I416" s="5">
        <v>3.1638461539999998</v>
      </c>
      <c r="J416" s="5" t="s">
        <v>16</v>
      </c>
    </row>
    <row r="417" spans="1:10" ht="12.75" x14ac:dyDescent="0.2">
      <c r="A417" s="5" t="s">
        <v>37</v>
      </c>
      <c r="B417" s="5">
        <v>2015</v>
      </c>
      <c r="C417" s="5">
        <v>395.41444439999998</v>
      </c>
      <c r="D417" s="5">
        <v>311.28666670000001</v>
      </c>
      <c r="E417" s="5">
        <v>53.377777780000002</v>
      </c>
      <c r="F417" s="5">
        <v>34.61222222</v>
      </c>
      <c r="G417" s="5">
        <v>25.696666669999999</v>
      </c>
      <c r="H417" s="5">
        <v>1353.2533330000001</v>
      </c>
      <c r="I417" s="5">
        <v>2.3199999999999998</v>
      </c>
      <c r="J417" s="5" t="s">
        <v>25</v>
      </c>
    </row>
    <row r="418" spans="1:10" ht="12.75" x14ac:dyDescent="0.2">
      <c r="A418" s="5" t="s">
        <v>37</v>
      </c>
      <c r="B418" s="5">
        <v>2016</v>
      </c>
      <c r="C418" s="5">
        <v>408.96</v>
      </c>
      <c r="D418" s="5">
        <v>329.24777779999999</v>
      </c>
      <c r="E418" s="5">
        <v>58.02333333</v>
      </c>
      <c r="F418" s="5">
        <v>36.020000000000003</v>
      </c>
      <c r="G418" s="5">
        <v>20.82222222</v>
      </c>
      <c r="H418" s="5">
        <v>1788.2555560000001</v>
      </c>
      <c r="I418" s="5">
        <v>2.21</v>
      </c>
      <c r="J418" s="5" t="s">
        <v>25</v>
      </c>
    </row>
    <row r="419" spans="1:10" ht="12.75" x14ac:dyDescent="0.2">
      <c r="A419" s="5" t="s">
        <v>37</v>
      </c>
      <c r="B419" s="5">
        <v>2017</v>
      </c>
      <c r="C419" s="5">
        <v>441.78125</v>
      </c>
      <c r="D419" s="5">
        <v>311.84750000000003</v>
      </c>
      <c r="E419" s="5">
        <v>47.892499999999998</v>
      </c>
      <c r="F419" s="5">
        <v>23.111249999999998</v>
      </c>
      <c r="G419" s="5">
        <v>25.135000000000002</v>
      </c>
      <c r="H419" s="5">
        <v>1330.23125</v>
      </c>
      <c r="I419" s="5">
        <v>2.7987500000000001</v>
      </c>
      <c r="J419" s="5" t="s">
        <v>25</v>
      </c>
    </row>
    <row r="420" spans="1:10" ht="12.75" x14ac:dyDescent="0.2">
      <c r="A420" s="5" t="s">
        <v>37</v>
      </c>
      <c r="B420" s="5">
        <v>2018</v>
      </c>
      <c r="C420" s="5">
        <v>554.58909089999997</v>
      </c>
      <c r="D420" s="5">
        <v>249.5854545</v>
      </c>
      <c r="E420" s="5">
        <v>44.537272729999998</v>
      </c>
      <c r="F420" s="5">
        <v>30.848181820000001</v>
      </c>
      <c r="G420" s="5">
        <v>24.407272729999999</v>
      </c>
      <c r="H420" s="5">
        <v>1757.610909</v>
      </c>
      <c r="I420" s="5">
        <v>2.7327272730000001</v>
      </c>
      <c r="J420" s="5" t="s">
        <v>16</v>
      </c>
    </row>
    <row r="421" spans="1:10" ht="12.75" x14ac:dyDescent="0.2">
      <c r="A421" s="5" t="s">
        <v>37</v>
      </c>
      <c r="B421" s="5">
        <v>2019</v>
      </c>
      <c r="C421" s="5">
        <v>567.27636359999997</v>
      </c>
      <c r="D421" s="5">
        <v>256.22181819999997</v>
      </c>
      <c r="E421" s="5">
        <v>47.787272729999998</v>
      </c>
      <c r="F421" s="5">
        <v>26.051818180000001</v>
      </c>
      <c r="G421" s="5">
        <v>27.46</v>
      </c>
      <c r="H421" s="5">
        <v>1469.8681819999999</v>
      </c>
      <c r="I421" s="5">
        <v>2.9563636359999999</v>
      </c>
      <c r="J421" s="5" t="s">
        <v>16</v>
      </c>
    </row>
    <row r="422" spans="1:10" ht="12.75" x14ac:dyDescent="0.2">
      <c r="A422" s="5" t="s">
        <v>37</v>
      </c>
      <c r="B422" s="5">
        <v>2020</v>
      </c>
      <c r="C422" s="5">
        <v>475.72166670000001</v>
      </c>
      <c r="D422" s="5">
        <v>238.9544444</v>
      </c>
      <c r="E422" s="5">
        <v>47.097777780000001</v>
      </c>
      <c r="F422" s="5">
        <v>27.451666670000002</v>
      </c>
      <c r="G422" s="5">
        <v>21.72777778</v>
      </c>
      <c r="H422" s="5">
        <v>1705.8077780000001</v>
      </c>
      <c r="I422" s="5">
        <v>2.6766666670000001</v>
      </c>
      <c r="J422" s="5" t="s">
        <v>16</v>
      </c>
    </row>
    <row r="423" spans="1:10" ht="12.75" x14ac:dyDescent="0.2">
      <c r="A423" s="5" t="s">
        <v>37</v>
      </c>
      <c r="B423" s="5">
        <v>2021</v>
      </c>
      <c r="C423" s="5">
        <v>469.41846149999998</v>
      </c>
      <c r="D423" s="5">
        <v>279.90307689999997</v>
      </c>
      <c r="E423" s="5">
        <v>42.835384619999999</v>
      </c>
      <c r="F423" s="5">
        <v>29.271538459999999</v>
      </c>
      <c r="G423" s="5">
        <v>21.321538459999999</v>
      </c>
      <c r="H423" s="5">
        <v>1415.024615</v>
      </c>
      <c r="I423" s="5">
        <v>2.6815384619999998</v>
      </c>
      <c r="J423" s="5" t="s">
        <v>16</v>
      </c>
    </row>
    <row r="424" spans="1:10" ht="12.75" x14ac:dyDescent="0.2">
      <c r="A424" s="5" t="s">
        <v>37</v>
      </c>
      <c r="B424" s="5">
        <v>2022</v>
      </c>
      <c r="C424" s="5">
        <v>433.95833329999999</v>
      </c>
      <c r="D424" s="5">
        <v>186.26499999999999</v>
      </c>
      <c r="E424" s="5">
        <v>56.17</v>
      </c>
      <c r="F424" s="5">
        <v>31.573333330000001</v>
      </c>
      <c r="G424" s="5">
        <v>21.723333329999999</v>
      </c>
      <c r="H424" s="5">
        <v>2106.2366670000001</v>
      </c>
      <c r="I424" s="5">
        <v>2.0916666670000001</v>
      </c>
      <c r="J424" s="5" t="s">
        <v>28</v>
      </c>
    </row>
    <row r="425" spans="1:10" ht="12.75" x14ac:dyDescent="0.2">
      <c r="A425" s="5" t="s">
        <v>37</v>
      </c>
      <c r="B425" s="5">
        <v>2023</v>
      </c>
      <c r="C425" s="5">
        <v>410.89</v>
      </c>
      <c r="D425" s="5">
        <v>292.09199999999998</v>
      </c>
      <c r="E425" s="5">
        <v>51.87</v>
      </c>
      <c r="F425" s="5">
        <v>23.788</v>
      </c>
      <c r="G425" s="5">
        <v>21.102</v>
      </c>
      <c r="H425" s="5">
        <v>1839.922</v>
      </c>
      <c r="I425" s="5">
        <v>2.4300000000000002</v>
      </c>
      <c r="J425" s="5" t="s">
        <v>16</v>
      </c>
    </row>
    <row r="426" spans="1:10" ht="12.75" x14ac:dyDescent="0.2">
      <c r="A426" s="5" t="s">
        <v>37</v>
      </c>
      <c r="B426" s="5">
        <v>2024</v>
      </c>
      <c r="C426" s="5">
        <v>546.98249999999996</v>
      </c>
      <c r="D426" s="5">
        <v>278.74250000000001</v>
      </c>
      <c r="E426" s="5">
        <v>51.055833329999999</v>
      </c>
      <c r="F426" s="5">
        <v>30.803333330000001</v>
      </c>
      <c r="G426" s="5">
        <v>25.2</v>
      </c>
      <c r="H426" s="5">
        <v>1833.6291670000001</v>
      </c>
      <c r="I426" s="5">
        <v>2.2200000000000002</v>
      </c>
      <c r="J426" s="5" t="s">
        <v>16</v>
      </c>
    </row>
    <row r="427" spans="1:10" ht="12.75" x14ac:dyDescent="0.2">
      <c r="A427" s="5" t="s">
        <v>38</v>
      </c>
      <c r="B427" s="5">
        <v>2000</v>
      </c>
      <c r="C427" s="5">
        <v>621.26538459999995</v>
      </c>
      <c r="D427" s="5">
        <v>273.57076919999997</v>
      </c>
      <c r="E427" s="5">
        <v>54.793076919999997</v>
      </c>
      <c r="F427" s="5">
        <v>31.216923080000001</v>
      </c>
      <c r="G427" s="5">
        <v>24.733076919999998</v>
      </c>
      <c r="H427" s="5">
        <v>1604.9338459999999</v>
      </c>
      <c r="I427" s="5">
        <v>2.7461538459999999</v>
      </c>
      <c r="J427" s="5" t="s">
        <v>16</v>
      </c>
    </row>
    <row r="428" spans="1:10" ht="12.75" x14ac:dyDescent="0.2">
      <c r="A428" s="5" t="s">
        <v>38</v>
      </c>
      <c r="B428" s="5">
        <v>2001</v>
      </c>
      <c r="C428" s="5">
        <v>372.41699999999997</v>
      </c>
      <c r="D428" s="5">
        <v>280.58199999999999</v>
      </c>
      <c r="E428" s="5">
        <v>53.551000000000002</v>
      </c>
      <c r="F428" s="5">
        <v>27.591999999999999</v>
      </c>
      <c r="G428" s="5">
        <v>24.748999999999999</v>
      </c>
      <c r="H428" s="5">
        <v>1160.829</v>
      </c>
      <c r="I428" s="5">
        <v>2.492</v>
      </c>
      <c r="J428" s="5" t="s">
        <v>16</v>
      </c>
    </row>
    <row r="429" spans="1:10" ht="12.75" x14ac:dyDescent="0.2">
      <c r="A429" s="5" t="s">
        <v>38</v>
      </c>
      <c r="B429" s="5">
        <v>2002</v>
      </c>
      <c r="C429" s="5">
        <v>364.63416669999998</v>
      </c>
      <c r="D429" s="5">
        <v>309.01499999999999</v>
      </c>
      <c r="E429" s="5">
        <v>48.646666670000002</v>
      </c>
      <c r="F429" s="5">
        <v>25.895833329999999</v>
      </c>
      <c r="G429" s="5">
        <v>27.43333333</v>
      </c>
      <c r="H429" s="5">
        <v>1767.645</v>
      </c>
      <c r="I429" s="5">
        <v>2.891666667</v>
      </c>
      <c r="J429" s="5" t="s">
        <v>25</v>
      </c>
    </row>
    <row r="430" spans="1:10" ht="12.75" x14ac:dyDescent="0.2">
      <c r="A430" s="5" t="s">
        <v>38</v>
      </c>
      <c r="B430" s="5">
        <v>2003</v>
      </c>
      <c r="C430" s="5">
        <v>326.11333330000002</v>
      </c>
      <c r="D430" s="5">
        <v>205.13166670000001</v>
      </c>
      <c r="E430" s="5">
        <v>53.738333330000003</v>
      </c>
      <c r="F430" s="5">
        <v>35.618333329999999</v>
      </c>
      <c r="G430" s="5">
        <v>23.81666667</v>
      </c>
      <c r="H430" s="5">
        <v>1366.376667</v>
      </c>
      <c r="I430" s="5">
        <v>1.875</v>
      </c>
      <c r="J430" s="5" t="s">
        <v>16</v>
      </c>
    </row>
    <row r="431" spans="1:10" ht="12.75" x14ac:dyDescent="0.2">
      <c r="A431" s="5" t="s">
        <v>38</v>
      </c>
      <c r="B431" s="5">
        <v>2004</v>
      </c>
      <c r="C431" s="5">
        <v>580.20071429999996</v>
      </c>
      <c r="D431" s="5">
        <v>318.98285709999999</v>
      </c>
      <c r="E431" s="5">
        <v>43.93</v>
      </c>
      <c r="F431" s="5">
        <v>28.56</v>
      </c>
      <c r="G431" s="5">
        <v>23.22357143</v>
      </c>
      <c r="H431" s="5">
        <v>1647.287143</v>
      </c>
      <c r="I431" s="5">
        <v>3.05</v>
      </c>
      <c r="J431" s="5" t="s">
        <v>25</v>
      </c>
    </row>
    <row r="432" spans="1:10" ht="12.75" x14ac:dyDescent="0.2">
      <c r="A432" s="5" t="s">
        <v>38</v>
      </c>
      <c r="B432" s="5">
        <v>2005</v>
      </c>
      <c r="C432" s="5">
        <v>250.2157143</v>
      </c>
      <c r="D432" s="5">
        <v>218.23428569999999</v>
      </c>
      <c r="E432" s="5">
        <v>44.674285709999999</v>
      </c>
      <c r="F432" s="5">
        <v>31.265714289999998</v>
      </c>
      <c r="G432" s="5">
        <v>23.63428571</v>
      </c>
      <c r="H432" s="5">
        <v>1805.7071430000001</v>
      </c>
      <c r="I432" s="5">
        <v>1.7342857140000001</v>
      </c>
      <c r="J432" s="5" t="s">
        <v>16</v>
      </c>
    </row>
    <row r="433" spans="1:10" ht="12.75" x14ac:dyDescent="0.2">
      <c r="A433" s="5" t="s">
        <v>38</v>
      </c>
      <c r="B433" s="5">
        <v>2006</v>
      </c>
      <c r="C433" s="5">
        <v>238.57777780000001</v>
      </c>
      <c r="D433" s="5">
        <v>356.6333333</v>
      </c>
      <c r="E433" s="5">
        <v>59.277777780000001</v>
      </c>
      <c r="F433" s="5">
        <v>24.08</v>
      </c>
      <c r="G433" s="5">
        <v>21.277777780000001</v>
      </c>
      <c r="H433" s="5">
        <v>1528.0366670000001</v>
      </c>
      <c r="I433" s="5">
        <v>3.2688888889999999</v>
      </c>
      <c r="J433" s="5" t="s">
        <v>25</v>
      </c>
    </row>
    <row r="434" spans="1:10" ht="12.75" x14ac:dyDescent="0.2">
      <c r="A434" s="5" t="s">
        <v>38</v>
      </c>
      <c r="B434" s="5">
        <v>2007</v>
      </c>
      <c r="C434" s="5">
        <v>507.52761900000002</v>
      </c>
      <c r="D434" s="5">
        <v>243.76857140000001</v>
      </c>
      <c r="E434" s="5">
        <v>48.230476189999997</v>
      </c>
      <c r="F434" s="5">
        <v>25.44190476</v>
      </c>
      <c r="G434" s="5">
        <v>25.83190476</v>
      </c>
      <c r="H434" s="5">
        <v>1585.517619</v>
      </c>
      <c r="I434" s="5">
        <v>2.6890476190000001</v>
      </c>
      <c r="J434" s="5" t="s">
        <v>16</v>
      </c>
    </row>
    <row r="435" spans="1:10" ht="12.75" x14ac:dyDescent="0.2">
      <c r="A435" s="5" t="s">
        <v>38</v>
      </c>
      <c r="B435" s="5">
        <v>2008</v>
      </c>
      <c r="C435" s="5">
        <v>561.04222219999997</v>
      </c>
      <c r="D435" s="5">
        <v>246.1055556</v>
      </c>
      <c r="E435" s="5">
        <v>64.076666669999994</v>
      </c>
      <c r="F435" s="5">
        <v>27.332222219999998</v>
      </c>
      <c r="G435" s="5">
        <v>28.31777778</v>
      </c>
      <c r="H435" s="5">
        <v>1486.897778</v>
      </c>
      <c r="I435" s="5">
        <v>3.05</v>
      </c>
      <c r="J435" s="5" t="s">
        <v>16</v>
      </c>
    </row>
    <row r="436" spans="1:10" ht="12.75" x14ac:dyDescent="0.2">
      <c r="A436" s="5" t="s">
        <v>38</v>
      </c>
      <c r="B436" s="5">
        <v>2009</v>
      </c>
      <c r="C436" s="5">
        <v>588.55923080000002</v>
      </c>
      <c r="D436" s="5">
        <v>271.44307689999999</v>
      </c>
      <c r="E436" s="5">
        <v>53.63461538</v>
      </c>
      <c r="F436" s="5">
        <v>25.033076919999999</v>
      </c>
      <c r="G436" s="5">
        <v>26.456923079999999</v>
      </c>
      <c r="H436" s="5">
        <v>1445.251538</v>
      </c>
      <c r="I436" s="5">
        <v>2.0915384619999999</v>
      </c>
      <c r="J436" s="5" t="s">
        <v>16</v>
      </c>
    </row>
    <row r="437" spans="1:10" ht="12.75" x14ac:dyDescent="0.2">
      <c r="A437" s="5" t="s">
        <v>38</v>
      </c>
      <c r="B437" s="5">
        <v>2010</v>
      </c>
      <c r="C437" s="5">
        <v>559.44833329999994</v>
      </c>
      <c r="D437" s="5">
        <v>294.83499999999998</v>
      </c>
      <c r="E437" s="5">
        <v>49.486666669999998</v>
      </c>
      <c r="F437" s="5">
        <v>26.298333329999998</v>
      </c>
      <c r="G437" s="5">
        <v>17.395</v>
      </c>
      <c r="H437" s="5">
        <v>1073.2349999999999</v>
      </c>
      <c r="I437" s="5">
        <v>2.63</v>
      </c>
      <c r="J437" s="5" t="s">
        <v>16</v>
      </c>
    </row>
    <row r="438" spans="1:10" ht="12.75" x14ac:dyDescent="0.2">
      <c r="A438" s="5" t="s">
        <v>38</v>
      </c>
      <c r="B438" s="5">
        <v>2011</v>
      </c>
      <c r="C438" s="5">
        <v>656.74699999999996</v>
      </c>
      <c r="D438" s="5">
        <v>308.30200000000002</v>
      </c>
      <c r="E438" s="5">
        <v>51.857999999999997</v>
      </c>
      <c r="F438" s="5">
        <v>32.781999999999996</v>
      </c>
      <c r="G438" s="5">
        <v>25.347999999999999</v>
      </c>
      <c r="H438" s="5">
        <v>1727.3340000000001</v>
      </c>
      <c r="I438" s="5">
        <v>2.2999999999999998</v>
      </c>
      <c r="J438" s="5" t="s">
        <v>25</v>
      </c>
    </row>
    <row r="439" spans="1:10" ht="12.75" x14ac:dyDescent="0.2">
      <c r="A439" s="5" t="s">
        <v>38</v>
      </c>
      <c r="B439" s="5">
        <v>2012</v>
      </c>
      <c r="C439" s="5">
        <v>528.56181819999995</v>
      </c>
      <c r="D439" s="5">
        <v>344.87272730000001</v>
      </c>
      <c r="E439" s="5">
        <v>58.396363639999997</v>
      </c>
      <c r="F439" s="5">
        <v>29.32636364</v>
      </c>
      <c r="G439" s="5">
        <v>27.00636364</v>
      </c>
      <c r="H439" s="5">
        <v>1696.953636</v>
      </c>
      <c r="I439" s="5">
        <v>2.8981818179999999</v>
      </c>
      <c r="J439" s="5" t="s">
        <v>25</v>
      </c>
    </row>
    <row r="440" spans="1:10" ht="12.75" x14ac:dyDescent="0.2">
      <c r="A440" s="5" t="s">
        <v>38</v>
      </c>
      <c r="B440" s="5">
        <v>2013</v>
      </c>
      <c r="C440" s="5">
        <v>486.4728571</v>
      </c>
      <c r="D440" s="5">
        <v>309.33857139999998</v>
      </c>
      <c r="E440" s="5">
        <v>50.362857140000003</v>
      </c>
      <c r="F440" s="5">
        <v>33.514285710000003</v>
      </c>
      <c r="G440" s="5">
        <v>20.888571429999999</v>
      </c>
      <c r="H440" s="5">
        <v>1671.73</v>
      </c>
      <c r="I440" s="5">
        <v>2.2000000000000002</v>
      </c>
      <c r="J440" s="5" t="s">
        <v>25</v>
      </c>
    </row>
    <row r="441" spans="1:10" ht="12.75" x14ac:dyDescent="0.2">
      <c r="A441" s="5" t="s">
        <v>38</v>
      </c>
      <c r="B441" s="5">
        <v>2014</v>
      </c>
      <c r="C441" s="5">
        <v>333.60666670000001</v>
      </c>
      <c r="D441" s="5">
        <v>290.32555559999997</v>
      </c>
      <c r="E441" s="5">
        <v>47.011111110000002</v>
      </c>
      <c r="F441" s="5">
        <v>33.992222220000002</v>
      </c>
      <c r="G441" s="5">
        <v>20.02222222</v>
      </c>
      <c r="H441" s="5">
        <v>1442.0877780000001</v>
      </c>
      <c r="I441" s="5">
        <v>2.1244444439999999</v>
      </c>
      <c r="J441" s="5" t="s">
        <v>16</v>
      </c>
    </row>
    <row r="442" spans="1:10" ht="12.75" x14ac:dyDescent="0.2">
      <c r="A442" s="5" t="s">
        <v>38</v>
      </c>
      <c r="B442" s="5">
        <v>2015</v>
      </c>
      <c r="C442" s="5">
        <v>519.41666669999995</v>
      </c>
      <c r="D442" s="5">
        <v>283.24</v>
      </c>
      <c r="E442" s="5">
        <v>45.151666669999997</v>
      </c>
      <c r="F442" s="5">
        <v>27.743333329999999</v>
      </c>
      <c r="G442" s="5">
        <v>28.626666669999999</v>
      </c>
      <c r="H442" s="5">
        <v>2226.5733329999998</v>
      </c>
      <c r="I442" s="5">
        <v>2.7850000000000001</v>
      </c>
      <c r="J442" s="5" t="s">
        <v>16</v>
      </c>
    </row>
    <row r="443" spans="1:10" ht="12.75" x14ac:dyDescent="0.2">
      <c r="A443" s="5" t="s">
        <v>38</v>
      </c>
      <c r="B443" s="5">
        <v>2016</v>
      </c>
      <c r="C443" s="5">
        <v>546.48500000000001</v>
      </c>
      <c r="D443" s="5">
        <v>245.26499999999999</v>
      </c>
      <c r="E443" s="5">
        <v>55.773571429999997</v>
      </c>
      <c r="F443" s="5">
        <v>31.12214286</v>
      </c>
      <c r="G443" s="5">
        <v>22.05285714</v>
      </c>
      <c r="H443" s="5">
        <v>1809.780714</v>
      </c>
      <c r="I443" s="5">
        <v>3.039285714</v>
      </c>
      <c r="J443" s="5" t="s">
        <v>16</v>
      </c>
    </row>
    <row r="444" spans="1:10" ht="12.75" x14ac:dyDescent="0.2">
      <c r="A444" s="5" t="s">
        <v>38</v>
      </c>
      <c r="B444" s="5">
        <v>2017</v>
      </c>
      <c r="C444" s="5">
        <v>600.29333329999997</v>
      </c>
      <c r="D444" s="5">
        <v>321.40333329999999</v>
      </c>
      <c r="E444" s="5">
        <v>42.67166667</v>
      </c>
      <c r="F444" s="5">
        <v>24.322500000000002</v>
      </c>
      <c r="G444" s="5">
        <v>27.2075</v>
      </c>
      <c r="H444" s="5">
        <v>1419.7466669999999</v>
      </c>
      <c r="I444" s="5">
        <v>2.67</v>
      </c>
      <c r="J444" s="5" t="s">
        <v>25</v>
      </c>
    </row>
    <row r="445" spans="1:10" ht="12.75" x14ac:dyDescent="0.2">
      <c r="A445" s="5" t="s">
        <v>38</v>
      </c>
      <c r="B445" s="5">
        <v>2018</v>
      </c>
      <c r="C445" s="5">
        <v>348.39428570000001</v>
      </c>
      <c r="D445" s="5">
        <v>285.08142859999998</v>
      </c>
      <c r="E445" s="5">
        <v>54.242857139999998</v>
      </c>
      <c r="F445" s="5">
        <v>25.042857139999999</v>
      </c>
      <c r="G445" s="5">
        <v>26.81142857</v>
      </c>
      <c r="H445" s="5">
        <v>1612.86</v>
      </c>
      <c r="I445" s="5">
        <v>2.2671428570000001</v>
      </c>
      <c r="J445" s="5" t="s">
        <v>16</v>
      </c>
    </row>
    <row r="446" spans="1:10" ht="12.75" x14ac:dyDescent="0.2">
      <c r="A446" s="5" t="s">
        <v>38</v>
      </c>
      <c r="B446" s="5">
        <v>2019</v>
      </c>
      <c r="C446" s="5">
        <v>454.13714290000001</v>
      </c>
      <c r="D446" s="5">
        <v>368.23</v>
      </c>
      <c r="E446" s="5">
        <v>57.08714286</v>
      </c>
      <c r="F446" s="5">
        <v>37.637142859999997</v>
      </c>
      <c r="G446" s="5">
        <v>25.187142860000002</v>
      </c>
      <c r="H446" s="5">
        <v>1400.2442860000001</v>
      </c>
      <c r="I446" s="5">
        <v>2.042857143</v>
      </c>
      <c r="J446" s="5" t="s">
        <v>25</v>
      </c>
    </row>
    <row r="447" spans="1:10" ht="12.75" x14ac:dyDescent="0.2">
      <c r="A447" s="5" t="s">
        <v>38</v>
      </c>
      <c r="B447" s="5">
        <v>2020</v>
      </c>
      <c r="C447" s="5">
        <v>316.5153846</v>
      </c>
      <c r="D447" s="5">
        <v>204.33461539999999</v>
      </c>
      <c r="E447" s="5">
        <v>55.452307689999998</v>
      </c>
      <c r="F447" s="5">
        <v>24.12153846</v>
      </c>
      <c r="G447" s="5">
        <v>25.9</v>
      </c>
      <c r="H447" s="5">
        <v>1310.8415379999999</v>
      </c>
      <c r="I447" s="5">
        <v>1.645384615</v>
      </c>
      <c r="J447" s="5" t="s">
        <v>16</v>
      </c>
    </row>
    <row r="448" spans="1:10" ht="12.75" x14ac:dyDescent="0.2">
      <c r="A448" s="5" t="s">
        <v>38</v>
      </c>
      <c r="B448" s="5">
        <v>2021</v>
      </c>
      <c r="C448" s="5">
        <v>494.8125</v>
      </c>
      <c r="D448" s="5">
        <v>261.54750000000001</v>
      </c>
      <c r="E448" s="5">
        <v>51.059166670000003</v>
      </c>
      <c r="F448" s="5">
        <v>27.506666670000001</v>
      </c>
      <c r="G448" s="5">
        <v>25.660833329999999</v>
      </c>
      <c r="H448" s="5">
        <v>1566.1724999999999</v>
      </c>
      <c r="I448" s="5">
        <v>2.2025000000000001</v>
      </c>
      <c r="J448" s="5" t="s">
        <v>16</v>
      </c>
    </row>
    <row r="449" spans="1:10" ht="12.75" x14ac:dyDescent="0.2">
      <c r="A449" s="5" t="s">
        <v>38</v>
      </c>
      <c r="B449" s="5">
        <v>2022</v>
      </c>
      <c r="C449" s="5">
        <v>494.20545449999997</v>
      </c>
      <c r="D449" s="5">
        <v>280.70909089999998</v>
      </c>
      <c r="E449" s="5">
        <v>59.330909089999999</v>
      </c>
      <c r="F449" s="5">
        <v>31.519090909999999</v>
      </c>
      <c r="G449" s="5">
        <v>22.018181819999999</v>
      </c>
      <c r="H449" s="5">
        <v>2069.79</v>
      </c>
      <c r="I449" s="5">
        <v>2.2827272729999999</v>
      </c>
      <c r="J449" s="5" t="s">
        <v>16</v>
      </c>
    </row>
    <row r="450" spans="1:10" ht="12.75" x14ac:dyDescent="0.2">
      <c r="A450" s="5" t="s">
        <v>38</v>
      </c>
      <c r="B450" s="5">
        <v>2023</v>
      </c>
      <c r="C450" s="5">
        <v>589.71812499999999</v>
      </c>
      <c r="D450" s="5">
        <v>231.86</v>
      </c>
      <c r="E450" s="5">
        <v>46.844374999999999</v>
      </c>
      <c r="F450" s="5">
        <v>32.35125</v>
      </c>
      <c r="G450" s="5">
        <v>24.260625000000001</v>
      </c>
      <c r="H450" s="5">
        <v>1069.4143750000001</v>
      </c>
      <c r="I450" s="5">
        <v>2.4193750000000001</v>
      </c>
      <c r="J450" s="5" t="s">
        <v>16</v>
      </c>
    </row>
    <row r="451" spans="1:10" ht="12.75" x14ac:dyDescent="0.2">
      <c r="A451" s="5" t="s">
        <v>38</v>
      </c>
      <c r="B451" s="5">
        <v>2024</v>
      </c>
      <c r="C451" s="5">
        <v>543.2171429</v>
      </c>
      <c r="D451" s="5">
        <v>289.77499999999998</v>
      </c>
      <c r="E451" s="5">
        <v>46.734285710000002</v>
      </c>
      <c r="F451" s="5">
        <v>28.234285710000002</v>
      </c>
      <c r="G451" s="5">
        <v>23.021428570000001</v>
      </c>
      <c r="H451" s="5">
        <v>1500.3792860000001</v>
      </c>
      <c r="I451" s="5">
        <v>2.7828571430000002</v>
      </c>
      <c r="J451" s="5" t="s">
        <v>16</v>
      </c>
    </row>
    <row r="452" spans="1:10" ht="12.75" x14ac:dyDescent="0.2">
      <c r="A452" s="5" t="s">
        <v>41</v>
      </c>
      <c r="B452" s="5">
        <v>2000</v>
      </c>
      <c r="C452" s="5">
        <v>511.97777780000001</v>
      </c>
      <c r="D452" s="5">
        <v>303.7622222</v>
      </c>
      <c r="E452" s="5">
        <v>60.748888890000003</v>
      </c>
      <c r="F452" s="5">
        <v>30.202222219999999</v>
      </c>
      <c r="G452" s="5">
        <v>26.15</v>
      </c>
      <c r="H452" s="5">
        <v>1550.187778</v>
      </c>
      <c r="I452" s="5">
        <v>1.718888889</v>
      </c>
      <c r="J452" s="5" t="s">
        <v>25</v>
      </c>
    </row>
    <row r="453" spans="1:10" ht="12.75" x14ac:dyDescent="0.2">
      <c r="A453" s="5" t="s">
        <v>41</v>
      </c>
      <c r="B453" s="5">
        <v>2001</v>
      </c>
      <c r="C453" s="5">
        <v>623.72916669999995</v>
      </c>
      <c r="D453" s="5">
        <v>291.40750000000003</v>
      </c>
      <c r="E453" s="5">
        <v>49.29666667</v>
      </c>
      <c r="F453" s="5">
        <v>19.98</v>
      </c>
      <c r="G453" s="5">
        <v>26.32833333</v>
      </c>
      <c r="H453" s="5">
        <v>914.58333330000005</v>
      </c>
      <c r="I453" s="5">
        <v>2.1291666669999998</v>
      </c>
      <c r="J453" s="5" t="s">
        <v>16</v>
      </c>
    </row>
    <row r="454" spans="1:10" ht="12.75" x14ac:dyDescent="0.2">
      <c r="A454" s="5" t="s">
        <v>41</v>
      </c>
      <c r="B454" s="5">
        <v>2002</v>
      </c>
      <c r="C454" s="5">
        <v>553.67750000000001</v>
      </c>
      <c r="D454" s="5">
        <v>317.26375000000002</v>
      </c>
      <c r="E454" s="5">
        <v>44.546250000000001</v>
      </c>
      <c r="F454" s="5">
        <v>30.28</v>
      </c>
      <c r="G454" s="5">
        <v>25.577500000000001</v>
      </c>
      <c r="H454" s="5">
        <v>2245.4499999999998</v>
      </c>
      <c r="I454" s="5">
        <v>2.48875</v>
      </c>
      <c r="J454" s="5" t="s">
        <v>25</v>
      </c>
    </row>
    <row r="455" spans="1:10" ht="12.75" x14ac:dyDescent="0.2">
      <c r="A455" s="5" t="s">
        <v>41</v>
      </c>
      <c r="B455" s="5">
        <v>2003</v>
      </c>
      <c r="C455" s="5">
        <v>461.87</v>
      </c>
      <c r="D455" s="5">
        <v>312.64833329999999</v>
      </c>
      <c r="E455" s="5">
        <v>40.428333330000001</v>
      </c>
      <c r="F455" s="5">
        <v>34.321666669999999</v>
      </c>
      <c r="G455" s="5">
        <v>24.305</v>
      </c>
      <c r="H455" s="5">
        <v>1304.866667</v>
      </c>
      <c r="I455" s="5">
        <v>2.0783333329999998</v>
      </c>
      <c r="J455" s="5" t="s">
        <v>25</v>
      </c>
    </row>
    <row r="456" spans="1:10" ht="12.75" x14ac:dyDescent="0.2">
      <c r="A456" s="5" t="s">
        <v>41</v>
      </c>
      <c r="B456" s="5">
        <v>2004</v>
      </c>
      <c r="C456" s="5">
        <v>325.1322222</v>
      </c>
      <c r="D456" s="5">
        <v>356.47888890000002</v>
      </c>
      <c r="E456" s="5">
        <v>39.735555560000002</v>
      </c>
      <c r="F456" s="5">
        <v>28.57111111</v>
      </c>
      <c r="G456" s="5">
        <v>27.278888890000001</v>
      </c>
      <c r="H456" s="5">
        <v>1441.938889</v>
      </c>
      <c r="I456" s="5">
        <v>2.4411111110000001</v>
      </c>
      <c r="J456" s="5" t="s">
        <v>25</v>
      </c>
    </row>
    <row r="457" spans="1:10" ht="12.75" x14ac:dyDescent="0.2">
      <c r="A457" s="5" t="s">
        <v>41</v>
      </c>
      <c r="B457" s="5">
        <v>2005</v>
      </c>
      <c r="C457" s="5">
        <v>366.83</v>
      </c>
      <c r="D457" s="5">
        <v>298.69714290000002</v>
      </c>
      <c r="E457" s="5">
        <v>51.122857140000001</v>
      </c>
      <c r="F457" s="5">
        <v>25.17</v>
      </c>
      <c r="G457" s="5">
        <v>31.76714286</v>
      </c>
      <c r="H457" s="5">
        <v>1276.9871430000001</v>
      </c>
      <c r="I457" s="5">
        <v>2.561428571</v>
      </c>
      <c r="J457" s="5" t="s">
        <v>16</v>
      </c>
    </row>
    <row r="458" spans="1:10" ht="12.75" x14ac:dyDescent="0.2">
      <c r="A458" s="5" t="s">
        <v>41</v>
      </c>
      <c r="B458" s="5">
        <v>2006</v>
      </c>
      <c r="C458" s="5">
        <v>416.96499999999997</v>
      </c>
      <c r="D458" s="5">
        <v>313.61700000000002</v>
      </c>
      <c r="E458" s="5">
        <v>57.033999999999999</v>
      </c>
      <c r="F458" s="5">
        <v>31.292000000000002</v>
      </c>
      <c r="G458" s="5">
        <v>27.559000000000001</v>
      </c>
      <c r="H458" s="5">
        <v>1848.6559999999999</v>
      </c>
      <c r="I458" s="5">
        <v>2.2599999999999998</v>
      </c>
      <c r="J458" s="5" t="s">
        <v>25</v>
      </c>
    </row>
    <row r="459" spans="1:10" ht="12.75" x14ac:dyDescent="0.2">
      <c r="A459" s="5" t="s">
        <v>41</v>
      </c>
      <c r="B459" s="5">
        <v>2007</v>
      </c>
      <c r="C459" s="5">
        <v>413.21187500000002</v>
      </c>
      <c r="D459" s="5">
        <v>249.99562499999999</v>
      </c>
      <c r="E459" s="5">
        <v>55.030625000000001</v>
      </c>
      <c r="F459" s="5">
        <v>26.978750000000002</v>
      </c>
      <c r="G459" s="5">
        <v>25.734999999999999</v>
      </c>
      <c r="H459" s="5">
        <v>1572.2550000000001</v>
      </c>
      <c r="I459" s="5">
        <v>2.5049999999999999</v>
      </c>
      <c r="J459" s="5" t="s">
        <v>16</v>
      </c>
    </row>
    <row r="460" spans="1:10" ht="12.75" x14ac:dyDescent="0.2">
      <c r="A460" s="5" t="s">
        <v>41</v>
      </c>
      <c r="B460" s="5">
        <v>2008</v>
      </c>
      <c r="C460" s="5">
        <v>573.33000000000004</v>
      </c>
      <c r="D460" s="5">
        <v>313.12222220000001</v>
      </c>
      <c r="E460" s="5">
        <v>50.68222222</v>
      </c>
      <c r="F460" s="5">
        <v>28.24</v>
      </c>
      <c r="G460" s="5">
        <v>15.208888890000001</v>
      </c>
      <c r="H460" s="5">
        <v>1111.3033330000001</v>
      </c>
      <c r="I460" s="5">
        <v>2.5588888889999999</v>
      </c>
      <c r="J460" s="5" t="s">
        <v>25</v>
      </c>
    </row>
    <row r="461" spans="1:10" ht="12.75" x14ac:dyDescent="0.2">
      <c r="A461" s="5" t="s">
        <v>41</v>
      </c>
      <c r="B461" s="5">
        <v>2009</v>
      </c>
      <c r="C461" s="5">
        <v>332.89666670000003</v>
      </c>
      <c r="D461" s="5">
        <v>223.77333329999999</v>
      </c>
      <c r="E461" s="5">
        <v>43.243333329999999</v>
      </c>
      <c r="F461" s="5">
        <v>13.276666669999999</v>
      </c>
      <c r="G461" s="5">
        <v>25.45333333</v>
      </c>
      <c r="H461" s="5">
        <v>1010.46</v>
      </c>
      <c r="I461" s="5">
        <v>4.1233333329999997</v>
      </c>
      <c r="J461" s="5" t="s">
        <v>16</v>
      </c>
    </row>
    <row r="462" spans="1:10" ht="12.75" x14ac:dyDescent="0.2">
      <c r="A462" s="5" t="s">
        <v>41</v>
      </c>
      <c r="B462" s="5">
        <v>2010</v>
      </c>
      <c r="C462" s="5">
        <v>633.43555560000004</v>
      </c>
      <c r="D462" s="5">
        <v>289.05111110000001</v>
      </c>
      <c r="E462" s="5">
        <v>45.758888890000001</v>
      </c>
      <c r="F462" s="5">
        <v>29.082222219999998</v>
      </c>
      <c r="G462" s="5">
        <v>27.09444444</v>
      </c>
      <c r="H462" s="5">
        <v>1759.832222</v>
      </c>
      <c r="I462" s="5">
        <v>2.5844444439999998</v>
      </c>
      <c r="J462" s="5" t="s">
        <v>16</v>
      </c>
    </row>
    <row r="463" spans="1:10" ht="12.75" x14ac:dyDescent="0.2">
      <c r="A463" s="5" t="s">
        <v>41</v>
      </c>
      <c r="B463" s="5">
        <v>2011</v>
      </c>
      <c r="C463" s="5">
        <v>540.56714290000002</v>
      </c>
      <c r="D463" s="5">
        <v>231.88428569999999</v>
      </c>
      <c r="E463" s="5">
        <v>56.941428569999999</v>
      </c>
      <c r="F463" s="5">
        <v>24.63428571</v>
      </c>
      <c r="G463" s="5">
        <v>28.805714290000001</v>
      </c>
      <c r="H463" s="5">
        <v>1563.4985710000001</v>
      </c>
      <c r="I463" s="5">
        <v>3.102857143</v>
      </c>
      <c r="J463" s="5" t="s">
        <v>16</v>
      </c>
    </row>
    <row r="464" spans="1:10" ht="12.75" x14ac:dyDescent="0.2">
      <c r="A464" s="5" t="s">
        <v>41</v>
      </c>
      <c r="B464" s="5">
        <v>2012</v>
      </c>
      <c r="C464" s="5">
        <v>583.02800000000002</v>
      </c>
      <c r="D464" s="5">
        <v>256.86</v>
      </c>
      <c r="E464" s="5">
        <v>55.234000000000002</v>
      </c>
      <c r="F464" s="5">
        <v>25.091999999999999</v>
      </c>
      <c r="G464" s="5">
        <v>28.568000000000001</v>
      </c>
      <c r="H464" s="5">
        <v>1908.7529999999999</v>
      </c>
      <c r="I464" s="5">
        <v>2.57</v>
      </c>
      <c r="J464" s="5" t="s">
        <v>16</v>
      </c>
    </row>
    <row r="465" spans="1:10" ht="12.75" x14ac:dyDescent="0.2">
      <c r="A465" s="5" t="s">
        <v>41</v>
      </c>
      <c r="B465" s="5">
        <v>2013</v>
      </c>
      <c r="C465" s="5">
        <v>470.03692310000002</v>
      </c>
      <c r="D465" s="5">
        <v>244.72846150000001</v>
      </c>
      <c r="E465" s="5">
        <v>50.427692309999998</v>
      </c>
      <c r="F465" s="5">
        <v>33.392307690000003</v>
      </c>
      <c r="G465" s="5">
        <v>26.907692310000002</v>
      </c>
      <c r="H465" s="5">
        <v>2098.4038460000002</v>
      </c>
      <c r="I465" s="5">
        <v>2.327692308</v>
      </c>
      <c r="J465" s="5" t="s">
        <v>16</v>
      </c>
    </row>
    <row r="466" spans="1:10" ht="12.75" x14ac:dyDescent="0.2">
      <c r="A466" s="5" t="s">
        <v>41</v>
      </c>
      <c r="B466" s="5">
        <v>2014</v>
      </c>
      <c r="C466" s="5">
        <v>402.73250000000002</v>
      </c>
      <c r="D466" s="5">
        <v>311.57875000000001</v>
      </c>
      <c r="E466" s="5">
        <v>44.448749999999997</v>
      </c>
      <c r="F466" s="5">
        <v>32.548749999999998</v>
      </c>
      <c r="G466" s="5">
        <v>28.5425</v>
      </c>
      <c r="H466" s="5">
        <v>1369.095</v>
      </c>
      <c r="I466" s="5">
        <v>3</v>
      </c>
      <c r="J466" s="5" t="s">
        <v>25</v>
      </c>
    </row>
    <row r="467" spans="1:10" ht="12.75" x14ac:dyDescent="0.2">
      <c r="A467" s="5" t="s">
        <v>41</v>
      </c>
      <c r="B467" s="5">
        <v>2015</v>
      </c>
      <c r="C467" s="5">
        <v>523.82777780000004</v>
      </c>
      <c r="D467" s="5">
        <v>224.7188889</v>
      </c>
      <c r="E467" s="5">
        <v>42.65888889</v>
      </c>
      <c r="F467" s="5">
        <v>24.40888889</v>
      </c>
      <c r="G467" s="5">
        <v>21.332222219999998</v>
      </c>
      <c r="H467" s="5">
        <v>1669.285556</v>
      </c>
      <c r="I467" s="5">
        <v>3.2122222219999998</v>
      </c>
      <c r="J467" s="5" t="s">
        <v>16</v>
      </c>
    </row>
    <row r="468" spans="1:10" ht="12.75" x14ac:dyDescent="0.2">
      <c r="A468" s="5" t="s">
        <v>41</v>
      </c>
      <c r="B468" s="5">
        <v>2016</v>
      </c>
      <c r="C468" s="5">
        <v>394.58727270000003</v>
      </c>
      <c r="D468" s="5">
        <v>285.57</v>
      </c>
      <c r="E468" s="5">
        <v>53.005454550000003</v>
      </c>
      <c r="F468" s="5">
        <v>31.70909091</v>
      </c>
      <c r="G468" s="5">
        <v>22.008181820000001</v>
      </c>
      <c r="H468" s="5">
        <v>1527.5309090000001</v>
      </c>
      <c r="I468" s="5">
        <v>2.1390909090000001</v>
      </c>
      <c r="J468" s="5" t="s">
        <v>16</v>
      </c>
    </row>
    <row r="469" spans="1:10" ht="12.75" x14ac:dyDescent="0.2">
      <c r="A469" s="5" t="s">
        <v>41</v>
      </c>
      <c r="B469" s="5">
        <v>2017</v>
      </c>
      <c r="C469" s="5">
        <v>361.1922222</v>
      </c>
      <c r="D469" s="5">
        <v>226.0122222</v>
      </c>
      <c r="E469" s="5">
        <v>48.275555560000001</v>
      </c>
      <c r="F469" s="5">
        <v>26.384444439999999</v>
      </c>
      <c r="G469" s="5">
        <v>27.134444439999999</v>
      </c>
      <c r="H469" s="5">
        <v>1948.0388889999999</v>
      </c>
      <c r="I469" s="5">
        <v>2.832222222</v>
      </c>
      <c r="J469" s="5" t="s">
        <v>16</v>
      </c>
    </row>
    <row r="470" spans="1:10" ht="12.75" x14ac:dyDescent="0.2">
      <c r="A470" s="5" t="s">
        <v>41</v>
      </c>
      <c r="B470" s="5">
        <v>2018</v>
      </c>
      <c r="C470" s="5">
        <v>628.47111110000003</v>
      </c>
      <c r="D470" s="5">
        <v>248.58222219999999</v>
      </c>
      <c r="E470" s="5">
        <v>55.564444440000003</v>
      </c>
      <c r="F470" s="5">
        <v>30.032222220000001</v>
      </c>
      <c r="G470" s="5">
        <v>24.52111111</v>
      </c>
      <c r="H470" s="5">
        <v>1746.0377779999999</v>
      </c>
      <c r="I470" s="5">
        <v>2.2722222219999999</v>
      </c>
      <c r="J470" s="5" t="s">
        <v>16</v>
      </c>
    </row>
    <row r="471" spans="1:10" ht="12.75" x14ac:dyDescent="0.2">
      <c r="A471" s="5" t="s">
        <v>41</v>
      </c>
      <c r="B471" s="5">
        <v>2019</v>
      </c>
      <c r="C471" s="5">
        <v>475.07916669999997</v>
      </c>
      <c r="D471" s="5">
        <v>281.06666669999998</v>
      </c>
      <c r="E471" s="5">
        <v>53.506666670000001</v>
      </c>
      <c r="F471" s="5">
        <v>26.58</v>
      </c>
      <c r="G471" s="5">
        <v>23.557500000000001</v>
      </c>
      <c r="H471" s="5">
        <v>1515.801667</v>
      </c>
      <c r="I471" s="5">
        <v>2.7116666669999998</v>
      </c>
      <c r="J471" s="5" t="s">
        <v>16</v>
      </c>
    </row>
    <row r="472" spans="1:10" ht="12.75" x14ac:dyDescent="0.2">
      <c r="A472" s="5" t="s">
        <v>41</v>
      </c>
      <c r="B472" s="5">
        <v>2020</v>
      </c>
      <c r="C472" s="5">
        <v>553.33299999999997</v>
      </c>
      <c r="D472" s="5">
        <v>251.084</v>
      </c>
      <c r="E472" s="5">
        <v>52.326000000000001</v>
      </c>
      <c r="F472" s="5">
        <v>31.898</v>
      </c>
      <c r="G472" s="5">
        <v>20.013999999999999</v>
      </c>
      <c r="H472" s="5">
        <v>1944.06</v>
      </c>
      <c r="I472" s="5">
        <v>2.3780000000000001</v>
      </c>
      <c r="J472" s="5" t="s">
        <v>16</v>
      </c>
    </row>
    <row r="473" spans="1:10" ht="12.75" x14ac:dyDescent="0.2">
      <c r="A473" s="5" t="s">
        <v>41</v>
      </c>
      <c r="B473" s="5">
        <v>2021</v>
      </c>
      <c r="C473" s="5">
        <v>525.81799999999998</v>
      </c>
      <c r="D473" s="5">
        <v>238.202</v>
      </c>
      <c r="E473" s="5">
        <v>56.3</v>
      </c>
      <c r="F473" s="5">
        <v>27.606000000000002</v>
      </c>
      <c r="G473" s="5">
        <v>28.488</v>
      </c>
      <c r="H473" s="5">
        <v>1511.7260000000001</v>
      </c>
      <c r="I473" s="5">
        <v>2.9140000000000001</v>
      </c>
      <c r="J473" s="5" t="s">
        <v>16</v>
      </c>
    </row>
    <row r="474" spans="1:10" ht="12.75" x14ac:dyDescent="0.2">
      <c r="A474" s="5" t="s">
        <v>41</v>
      </c>
      <c r="B474" s="5">
        <v>2022</v>
      </c>
      <c r="C474" s="5">
        <v>471.93099999999998</v>
      </c>
      <c r="D474" s="5">
        <v>282.42500000000001</v>
      </c>
      <c r="E474" s="5">
        <v>54.908000000000001</v>
      </c>
      <c r="F474" s="5">
        <v>24.93</v>
      </c>
      <c r="G474" s="5">
        <v>26.099</v>
      </c>
      <c r="H474" s="5">
        <v>1836.5340000000001</v>
      </c>
      <c r="I474" s="5">
        <v>2.9369999999999998</v>
      </c>
      <c r="J474" s="5" t="s">
        <v>16</v>
      </c>
    </row>
    <row r="475" spans="1:10" ht="12.75" x14ac:dyDescent="0.2">
      <c r="A475" s="5" t="s">
        <v>41</v>
      </c>
      <c r="B475" s="5">
        <v>2023</v>
      </c>
      <c r="C475" s="5">
        <v>519.03615379999997</v>
      </c>
      <c r="D475" s="5">
        <v>337.9776923</v>
      </c>
      <c r="E475" s="5">
        <v>50.621538459999996</v>
      </c>
      <c r="F475" s="5">
        <v>27.773076920000001</v>
      </c>
      <c r="G475" s="5">
        <v>23.569230770000001</v>
      </c>
      <c r="H475" s="5">
        <v>1585.790769</v>
      </c>
      <c r="I475" s="5">
        <v>2.5830769230000001</v>
      </c>
      <c r="J475" s="5" t="s">
        <v>25</v>
      </c>
    </row>
    <row r="476" spans="1:10" ht="12.75" x14ac:dyDescent="0.2">
      <c r="A476" s="5" t="s">
        <v>41</v>
      </c>
      <c r="B476" s="5">
        <v>2024</v>
      </c>
      <c r="C476" s="5">
        <v>498.77875</v>
      </c>
      <c r="D476" s="5">
        <v>334.45375000000001</v>
      </c>
      <c r="E476" s="5">
        <v>48.768749999999997</v>
      </c>
      <c r="F476" s="5">
        <v>27.89</v>
      </c>
      <c r="G476" s="5">
        <v>25.574999999999999</v>
      </c>
      <c r="H476" s="5">
        <v>1576.25875</v>
      </c>
      <c r="I476" s="5">
        <v>2.82375</v>
      </c>
      <c r="J476" s="5" t="s">
        <v>25</v>
      </c>
    </row>
    <row r="477" spans="1:10" ht="12.75" x14ac:dyDescent="0.2">
      <c r="A477" s="5" t="s">
        <v>34</v>
      </c>
      <c r="B477" s="5">
        <v>2000</v>
      </c>
      <c r="C477" s="5">
        <v>631.30399999999997</v>
      </c>
      <c r="D477" s="5">
        <v>275.05</v>
      </c>
      <c r="E477" s="5">
        <v>45.628999999999998</v>
      </c>
      <c r="F477" s="5">
        <v>29.396000000000001</v>
      </c>
      <c r="G477" s="5">
        <v>21.614999999999998</v>
      </c>
      <c r="H477" s="5">
        <v>2080.4050000000002</v>
      </c>
      <c r="I477" s="5">
        <v>1.8140000000000001</v>
      </c>
      <c r="J477" s="5" t="s">
        <v>16</v>
      </c>
    </row>
    <row r="478" spans="1:10" ht="12.75" x14ac:dyDescent="0.2">
      <c r="A478" s="5" t="s">
        <v>34</v>
      </c>
      <c r="B478" s="5">
        <v>2001</v>
      </c>
      <c r="C478" s="5">
        <v>445.17272730000002</v>
      </c>
      <c r="D478" s="5">
        <v>300.58999999999997</v>
      </c>
      <c r="E478" s="5">
        <v>50.020909090000004</v>
      </c>
      <c r="F478" s="5">
        <v>20.72272727</v>
      </c>
      <c r="G478" s="5">
        <v>26.712727269999998</v>
      </c>
      <c r="H478" s="5">
        <v>1845.639091</v>
      </c>
      <c r="I478" s="5">
        <v>3.0254545450000001</v>
      </c>
      <c r="J478" s="5" t="s">
        <v>25</v>
      </c>
    </row>
    <row r="479" spans="1:10" ht="12.75" x14ac:dyDescent="0.2">
      <c r="A479" s="5" t="s">
        <v>34</v>
      </c>
      <c r="B479" s="5">
        <v>2002</v>
      </c>
      <c r="C479" s="5">
        <v>606.12727270000005</v>
      </c>
      <c r="D479" s="5">
        <v>229.09636359999999</v>
      </c>
      <c r="E479" s="5">
        <v>46.245454549999998</v>
      </c>
      <c r="F479" s="5">
        <v>23.850909089999998</v>
      </c>
      <c r="G479" s="5">
        <v>28.93181818</v>
      </c>
      <c r="H479" s="5">
        <v>1411.564545</v>
      </c>
      <c r="I479" s="5">
        <v>2.382727273</v>
      </c>
      <c r="J479" s="5" t="s">
        <v>16</v>
      </c>
    </row>
    <row r="480" spans="1:10" ht="12.75" x14ac:dyDescent="0.2">
      <c r="A480" s="5" t="s">
        <v>34</v>
      </c>
      <c r="B480" s="5">
        <v>2003</v>
      </c>
      <c r="C480" s="5">
        <v>601.77250000000004</v>
      </c>
      <c r="D480" s="5">
        <v>250.8616667</v>
      </c>
      <c r="E480" s="5">
        <v>47.184166670000003</v>
      </c>
      <c r="F480" s="5">
        <v>31.214166670000001</v>
      </c>
      <c r="G480" s="5">
        <v>25.23416667</v>
      </c>
      <c r="H480" s="5">
        <v>1179.5675000000001</v>
      </c>
      <c r="I480" s="5">
        <v>2.6441666669999999</v>
      </c>
      <c r="J480" s="5" t="s">
        <v>16</v>
      </c>
    </row>
    <row r="481" spans="1:10" ht="12.75" x14ac:dyDescent="0.2">
      <c r="A481" s="5" t="s">
        <v>34</v>
      </c>
      <c r="B481" s="5">
        <v>2004</v>
      </c>
      <c r="C481" s="5">
        <v>626.24</v>
      </c>
      <c r="D481" s="5">
        <v>320.41230769999999</v>
      </c>
      <c r="E481" s="5">
        <v>52.508461539999999</v>
      </c>
      <c r="F481" s="5">
        <v>28.367692309999999</v>
      </c>
      <c r="G481" s="5">
        <v>24.63</v>
      </c>
      <c r="H481" s="5">
        <v>1542.064615</v>
      </c>
      <c r="I481" s="5">
        <v>3.1276923079999999</v>
      </c>
      <c r="J481" s="5" t="s">
        <v>25</v>
      </c>
    </row>
    <row r="482" spans="1:10" ht="12.75" x14ac:dyDescent="0.2">
      <c r="A482" s="5" t="s">
        <v>34</v>
      </c>
      <c r="B482" s="5">
        <v>2005</v>
      </c>
      <c r="C482" s="5">
        <v>465.76499999999999</v>
      </c>
      <c r="D482" s="5">
        <v>326.798</v>
      </c>
      <c r="E482" s="5">
        <v>53.88</v>
      </c>
      <c r="F482" s="5">
        <v>18.971</v>
      </c>
      <c r="G482" s="5">
        <v>25.53</v>
      </c>
      <c r="H482" s="5">
        <v>1558.9469999999999</v>
      </c>
      <c r="I482" s="5">
        <v>2.9889999999999999</v>
      </c>
      <c r="J482" s="5" t="s">
        <v>25</v>
      </c>
    </row>
    <row r="483" spans="1:10" ht="12.75" x14ac:dyDescent="0.2">
      <c r="A483" s="5" t="s">
        <v>34</v>
      </c>
      <c r="B483" s="5">
        <v>2006</v>
      </c>
      <c r="C483" s="5">
        <v>444.75888889999999</v>
      </c>
      <c r="D483" s="5">
        <v>334.03777780000001</v>
      </c>
      <c r="E483" s="5">
        <v>58.653333330000002</v>
      </c>
      <c r="F483" s="5">
        <v>28.872222220000001</v>
      </c>
      <c r="G483" s="5">
        <v>28.333333329999999</v>
      </c>
      <c r="H483" s="5">
        <v>1992.126667</v>
      </c>
      <c r="I483" s="5">
        <v>3.0844444439999998</v>
      </c>
      <c r="J483" s="5" t="s">
        <v>25</v>
      </c>
    </row>
    <row r="484" spans="1:10" ht="12.75" x14ac:dyDescent="0.2">
      <c r="A484" s="5" t="s">
        <v>34</v>
      </c>
      <c r="B484" s="5">
        <v>2007</v>
      </c>
      <c r="C484" s="5">
        <v>649.62916670000004</v>
      </c>
      <c r="D484" s="5">
        <v>287.13</v>
      </c>
      <c r="E484" s="5">
        <v>49.732500000000002</v>
      </c>
      <c r="F484" s="5">
        <v>26.387499999999999</v>
      </c>
      <c r="G484" s="5">
        <v>24.375</v>
      </c>
      <c r="H484" s="5">
        <v>1783.709167</v>
      </c>
      <c r="I484" s="5">
        <v>3.150833333</v>
      </c>
      <c r="J484" s="5" t="s">
        <v>16</v>
      </c>
    </row>
    <row r="485" spans="1:10" ht="12.75" x14ac:dyDescent="0.2">
      <c r="A485" s="5" t="s">
        <v>34</v>
      </c>
      <c r="B485" s="5">
        <v>2008</v>
      </c>
      <c r="C485" s="5">
        <v>548.25153850000004</v>
      </c>
      <c r="D485" s="5">
        <v>252.7869231</v>
      </c>
      <c r="E485" s="5">
        <v>46.986153850000001</v>
      </c>
      <c r="F485" s="5">
        <v>25.176153849999999</v>
      </c>
      <c r="G485" s="5">
        <v>24.98</v>
      </c>
      <c r="H485" s="5">
        <v>1691.000769</v>
      </c>
      <c r="I485" s="5">
        <v>1.8115384619999999</v>
      </c>
      <c r="J485" s="5" t="s">
        <v>16</v>
      </c>
    </row>
    <row r="486" spans="1:10" ht="12.75" x14ac:dyDescent="0.2">
      <c r="A486" s="5" t="s">
        <v>34</v>
      </c>
      <c r="B486" s="5">
        <v>2009</v>
      </c>
      <c r="C486" s="5">
        <v>743.67111109999996</v>
      </c>
      <c r="D486" s="5">
        <v>291.45111109999999</v>
      </c>
      <c r="E486" s="5">
        <v>51.758888890000001</v>
      </c>
      <c r="F486" s="5">
        <v>27.08</v>
      </c>
      <c r="G486" s="5">
        <v>24.74777778</v>
      </c>
      <c r="H486" s="5">
        <v>1732.991111</v>
      </c>
      <c r="I486" s="5">
        <v>2.1488888890000002</v>
      </c>
      <c r="J486" s="5" t="s">
        <v>16</v>
      </c>
    </row>
    <row r="487" spans="1:10" ht="12.75" x14ac:dyDescent="0.2">
      <c r="A487" s="5" t="s">
        <v>34</v>
      </c>
      <c r="B487" s="5">
        <v>2010</v>
      </c>
      <c r="C487" s="5">
        <v>626.22142859999997</v>
      </c>
      <c r="D487" s="5">
        <v>193.34</v>
      </c>
      <c r="E487" s="5">
        <v>53.695714289999998</v>
      </c>
      <c r="F487" s="5">
        <v>24.461428569999999</v>
      </c>
      <c r="G487" s="5">
        <v>20.448571430000001</v>
      </c>
      <c r="H487" s="5">
        <v>2032.701429</v>
      </c>
      <c r="I487" s="5">
        <v>1.9128571430000001</v>
      </c>
      <c r="J487" s="5" t="s">
        <v>28</v>
      </c>
    </row>
    <row r="488" spans="1:10" ht="12.75" x14ac:dyDescent="0.2">
      <c r="A488" s="5" t="s">
        <v>34</v>
      </c>
      <c r="B488" s="5">
        <v>2011</v>
      </c>
      <c r="C488" s="5">
        <v>556.96666670000002</v>
      </c>
      <c r="D488" s="5">
        <v>302.70777779999997</v>
      </c>
      <c r="E488" s="5">
        <v>50.31</v>
      </c>
      <c r="F488" s="5">
        <v>26.794444439999999</v>
      </c>
      <c r="G488" s="5">
        <v>28.632222219999999</v>
      </c>
      <c r="H488" s="5">
        <v>2110.1133329999998</v>
      </c>
      <c r="I488" s="5">
        <v>1.811111111</v>
      </c>
      <c r="J488" s="5" t="s">
        <v>25</v>
      </c>
    </row>
    <row r="489" spans="1:10" ht="12.75" x14ac:dyDescent="0.2">
      <c r="A489" s="5" t="s">
        <v>34</v>
      </c>
      <c r="B489" s="5">
        <v>2012</v>
      </c>
      <c r="C489" s="5">
        <v>589.28</v>
      </c>
      <c r="D489" s="5">
        <v>286.6557143</v>
      </c>
      <c r="E489" s="5">
        <v>53.030714289999999</v>
      </c>
      <c r="F489" s="5">
        <v>25.648571430000001</v>
      </c>
      <c r="G489" s="5">
        <v>29.545714289999999</v>
      </c>
      <c r="H489" s="5">
        <v>1492.6785709999999</v>
      </c>
      <c r="I489" s="5">
        <v>2.2864285710000001</v>
      </c>
      <c r="J489" s="5" t="s">
        <v>16</v>
      </c>
    </row>
    <row r="490" spans="1:10" ht="12.75" x14ac:dyDescent="0.2">
      <c r="A490" s="5" t="s">
        <v>34</v>
      </c>
      <c r="B490" s="5">
        <v>2013</v>
      </c>
      <c r="C490" s="5">
        <v>318.79000000000002</v>
      </c>
      <c r="D490" s="5">
        <v>352.41</v>
      </c>
      <c r="E490" s="5">
        <v>49.142499999999998</v>
      </c>
      <c r="F490" s="5">
        <v>30.513750000000002</v>
      </c>
      <c r="G490" s="5">
        <v>23.555</v>
      </c>
      <c r="H490" s="5">
        <v>2019.1387500000001</v>
      </c>
      <c r="I490" s="5">
        <v>1.5325</v>
      </c>
      <c r="J490" s="5" t="s">
        <v>25</v>
      </c>
    </row>
    <row r="491" spans="1:10" ht="12.75" x14ac:dyDescent="0.2">
      <c r="A491" s="5" t="s">
        <v>34</v>
      </c>
      <c r="B491" s="5">
        <v>2014</v>
      </c>
      <c r="C491" s="5">
        <v>455.44545449999998</v>
      </c>
      <c r="D491" s="5">
        <v>258.66636360000001</v>
      </c>
      <c r="E491" s="5">
        <v>45.854545450000003</v>
      </c>
      <c r="F491" s="5">
        <v>30.856363640000001</v>
      </c>
      <c r="G491" s="5">
        <v>22.04818182</v>
      </c>
      <c r="H491" s="5">
        <v>2111.826364</v>
      </c>
      <c r="I491" s="5">
        <v>1.940909091</v>
      </c>
      <c r="J491" s="5" t="s">
        <v>16</v>
      </c>
    </row>
    <row r="492" spans="1:10" ht="12.75" x14ac:dyDescent="0.2">
      <c r="A492" s="5" t="s">
        <v>34</v>
      </c>
      <c r="B492" s="5">
        <v>2015</v>
      </c>
      <c r="C492" s="5">
        <v>451.54571429999999</v>
      </c>
      <c r="D492" s="5">
        <v>247.3714286</v>
      </c>
      <c r="E492" s="5">
        <v>49.78785714</v>
      </c>
      <c r="F492" s="5">
        <v>33.304285710000002</v>
      </c>
      <c r="G492" s="5">
        <v>23.839285709999999</v>
      </c>
      <c r="H492" s="5">
        <v>1341.8114290000001</v>
      </c>
      <c r="I492" s="5">
        <v>3.3885714290000002</v>
      </c>
      <c r="J492" s="5" t="s">
        <v>16</v>
      </c>
    </row>
    <row r="493" spans="1:10" ht="12.75" x14ac:dyDescent="0.2">
      <c r="A493" s="5" t="s">
        <v>34</v>
      </c>
      <c r="B493" s="5">
        <v>2016</v>
      </c>
      <c r="C493" s="5">
        <v>502.99599999999998</v>
      </c>
      <c r="D493" s="5">
        <v>277.03800000000001</v>
      </c>
      <c r="E493" s="5">
        <v>47.667000000000002</v>
      </c>
      <c r="F493" s="5">
        <v>26.53</v>
      </c>
      <c r="G493" s="5">
        <v>23.103000000000002</v>
      </c>
      <c r="H493" s="5">
        <v>1739.999</v>
      </c>
      <c r="I493" s="5">
        <v>2.645</v>
      </c>
      <c r="J493" s="5" t="s">
        <v>16</v>
      </c>
    </row>
    <row r="494" spans="1:10" ht="12.75" x14ac:dyDescent="0.2">
      <c r="A494" s="5" t="s">
        <v>34</v>
      </c>
      <c r="B494" s="5">
        <v>2017</v>
      </c>
      <c r="C494" s="5">
        <v>431.505</v>
      </c>
      <c r="D494" s="5">
        <v>248.01900000000001</v>
      </c>
      <c r="E494" s="5">
        <v>57.999000000000002</v>
      </c>
      <c r="F494" s="5">
        <v>31.693999999999999</v>
      </c>
      <c r="G494" s="5">
        <v>29.452000000000002</v>
      </c>
      <c r="H494" s="5">
        <v>1529.067</v>
      </c>
      <c r="I494" s="5">
        <v>2.3039999999999998</v>
      </c>
      <c r="J494" s="5" t="s">
        <v>16</v>
      </c>
    </row>
    <row r="495" spans="1:10" ht="12.75" x14ac:dyDescent="0.2">
      <c r="A495" s="5" t="s">
        <v>34</v>
      </c>
      <c r="B495" s="5">
        <v>2018</v>
      </c>
      <c r="C495" s="5">
        <v>568.125</v>
      </c>
      <c r="D495" s="5">
        <v>275.02</v>
      </c>
      <c r="E495" s="5">
        <v>41.67</v>
      </c>
      <c r="F495" s="5">
        <v>29.943333330000002</v>
      </c>
      <c r="G495" s="5">
        <v>18.65666667</v>
      </c>
      <c r="H495" s="5">
        <v>1245.6716670000001</v>
      </c>
      <c r="I495" s="5">
        <v>2.028333333</v>
      </c>
      <c r="J495" s="5" t="s">
        <v>16</v>
      </c>
    </row>
    <row r="496" spans="1:10" ht="12.75" x14ac:dyDescent="0.2">
      <c r="A496" s="5" t="s">
        <v>34</v>
      </c>
      <c r="B496" s="5">
        <v>2019</v>
      </c>
      <c r="C496" s="5">
        <v>547.864375</v>
      </c>
      <c r="D496" s="5">
        <v>283.96875</v>
      </c>
      <c r="E496" s="5">
        <v>46.826875000000001</v>
      </c>
      <c r="F496" s="5">
        <v>25.886875</v>
      </c>
      <c r="G496" s="5">
        <v>22.58</v>
      </c>
      <c r="H496" s="5">
        <v>1461.9662499999999</v>
      </c>
      <c r="I496" s="5">
        <v>2.8250000000000002</v>
      </c>
      <c r="J496" s="5" t="s">
        <v>16</v>
      </c>
    </row>
    <row r="497" spans="1:10" ht="12.75" x14ac:dyDescent="0.2">
      <c r="A497" s="5" t="s">
        <v>34</v>
      </c>
      <c r="B497" s="5">
        <v>2020</v>
      </c>
      <c r="C497" s="5">
        <v>418.09699999999998</v>
      </c>
      <c r="D497" s="5">
        <v>292.97000000000003</v>
      </c>
      <c r="E497" s="5">
        <v>47.448</v>
      </c>
      <c r="F497" s="5">
        <v>25.265999999999998</v>
      </c>
      <c r="G497" s="5">
        <v>27.538</v>
      </c>
      <c r="H497" s="5">
        <v>1510.662</v>
      </c>
      <c r="I497" s="5">
        <v>2.431</v>
      </c>
      <c r="J497" s="5" t="s">
        <v>16</v>
      </c>
    </row>
    <row r="498" spans="1:10" ht="12.75" x14ac:dyDescent="0.2">
      <c r="A498" s="5" t="s">
        <v>34</v>
      </c>
      <c r="B498" s="5">
        <v>2021</v>
      </c>
      <c r="C498" s="5">
        <v>572.09400000000005</v>
      </c>
      <c r="D498" s="5">
        <v>275.97800000000001</v>
      </c>
      <c r="E498" s="5">
        <v>46.195</v>
      </c>
      <c r="F498" s="5">
        <v>32.222999999999999</v>
      </c>
      <c r="G498" s="5">
        <v>26.72</v>
      </c>
      <c r="H498" s="5">
        <v>754.61500000000001</v>
      </c>
      <c r="I498" s="5">
        <v>2.6280000000000001</v>
      </c>
      <c r="J498" s="5" t="s">
        <v>16</v>
      </c>
    </row>
    <row r="499" spans="1:10" ht="12.75" x14ac:dyDescent="0.2">
      <c r="A499" s="5" t="s">
        <v>34</v>
      </c>
      <c r="B499" s="5">
        <v>2022</v>
      </c>
      <c r="C499" s="5">
        <v>440.97800000000001</v>
      </c>
      <c r="D499" s="5">
        <v>292.03899999999999</v>
      </c>
      <c r="E499" s="5">
        <v>54.81</v>
      </c>
      <c r="F499" s="5">
        <v>30.917999999999999</v>
      </c>
      <c r="G499" s="5">
        <v>22.638000000000002</v>
      </c>
      <c r="H499" s="5">
        <v>2119.8980000000001</v>
      </c>
      <c r="I499" s="5">
        <v>2.871</v>
      </c>
      <c r="J499" s="5" t="s">
        <v>16</v>
      </c>
    </row>
    <row r="500" spans="1:10" ht="12.75" x14ac:dyDescent="0.2">
      <c r="A500" s="5" t="s">
        <v>34</v>
      </c>
      <c r="B500" s="5">
        <v>2023</v>
      </c>
      <c r="C500" s="5">
        <v>566.86500000000001</v>
      </c>
      <c r="D500" s="5">
        <v>261.19749999999999</v>
      </c>
      <c r="E500" s="5">
        <v>62.945</v>
      </c>
      <c r="F500" s="5">
        <v>25.2075</v>
      </c>
      <c r="G500" s="5">
        <v>21.6325</v>
      </c>
      <c r="H500" s="5">
        <v>1439.155</v>
      </c>
      <c r="I500" s="5">
        <v>1.5974999999999999</v>
      </c>
      <c r="J500" s="5" t="s">
        <v>16</v>
      </c>
    </row>
    <row r="501" spans="1:10" ht="12.75" x14ac:dyDescent="0.2">
      <c r="A501" s="5" t="s">
        <v>34</v>
      </c>
      <c r="B501" s="5">
        <v>2024</v>
      </c>
      <c r="C501" s="5">
        <v>249.48500000000001</v>
      </c>
      <c r="D501" s="5">
        <v>186.374</v>
      </c>
      <c r="E501" s="5">
        <v>51.386000000000003</v>
      </c>
      <c r="F501" s="5">
        <v>24.768999999999998</v>
      </c>
      <c r="G501" s="5">
        <v>27.677</v>
      </c>
      <c r="H501" s="5">
        <v>1771.1990000000001</v>
      </c>
      <c r="I501" s="5">
        <v>1.6379999999999999</v>
      </c>
      <c r="J501" s="5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workbookViewId="0">
      <selection sqref="A1:B1"/>
    </sheetView>
  </sheetViews>
  <sheetFormatPr defaultColWidth="12.5703125" defaultRowHeight="15.75" customHeight="1" x14ac:dyDescent="0.2"/>
  <cols>
    <col min="1" max="1" width="26" customWidth="1"/>
    <col min="2" max="2" width="16.42578125" customWidth="1"/>
  </cols>
  <sheetData>
    <row r="1" spans="1:2" x14ac:dyDescent="0.2">
      <c r="A1" s="21" t="s">
        <v>2</v>
      </c>
      <c r="B1" s="22"/>
    </row>
    <row r="2" spans="1:2" x14ac:dyDescent="0.2">
      <c r="A2" s="4"/>
    </row>
    <row r="3" spans="1:2" x14ac:dyDescent="0.2">
      <c r="A3" s="2" t="s">
        <v>12</v>
      </c>
      <c r="B3" s="2" t="s">
        <v>13</v>
      </c>
    </row>
    <row r="4" spans="1:2" x14ac:dyDescent="0.2">
      <c r="A4" s="4" t="s">
        <v>14</v>
      </c>
      <c r="B4" s="5">
        <f>SUM(global_water_consumption.csv!C2:C1000)</f>
        <v>250612.21509009998</v>
      </c>
    </row>
    <row r="5" spans="1:2" x14ac:dyDescent="0.2">
      <c r="A5" s="4" t="s">
        <v>17</v>
      </c>
      <c r="B5" s="5">
        <f>AVERAGE(global_water_consumption.csv!D2:D1000)</f>
        <v>276.00478218140012</v>
      </c>
    </row>
    <row r="6" spans="1:2" x14ac:dyDescent="0.2">
      <c r="A6" s="4" t="s">
        <v>18</v>
      </c>
      <c r="B6" s="5">
        <f>AVERAGE(global_water_consumption.csv!E2:E1000)</f>
        <v>50.180829405780045</v>
      </c>
    </row>
    <row r="7" spans="1:2" x14ac:dyDescent="0.2">
      <c r="A7" s="4" t="s">
        <v>19</v>
      </c>
      <c r="B7" s="5">
        <f>AVERAGE(global_water_consumption.csv!F2:F1000)</f>
        <v>27.79283727558002</v>
      </c>
    </row>
    <row r="8" spans="1:2" x14ac:dyDescent="0.2">
      <c r="A8" s="4" t="s">
        <v>20</v>
      </c>
      <c r="B8" s="5">
        <f>AVERAGE(global_water_consumption.csv!G2:G1000)</f>
        <v>24.83251527338</v>
      </c>
    </row>
    <row r="9" spans="1:2" x14ac:dyDescent="0.2">
      <c r="A9" s="4" t="s">
        <v>21</v>
      </c>
      <c r="B9" s="5">
        <f>AVERAGE(global_water_consumption.csv!H1:H1000)</f>
        <v>1544.8243003381999</v>
      </c>
    </row>
    <row r="10" spans="1:2" x14ac:dyDescent="0.2">
      <c r="A10" s="4" t="s">
        <v>22</v>
      </c>
      <c r="B10" s="5">
        <f>AVERAGE(global_water_consumption.csv!I1:I1000)</f>
        <v>2.5730370938079998</v>
      </c>
    </row>
    <row r="11" spans="1:2" x14ac:dyDescent="0.2">
      <c r="A11" s="4" t="s">
        <v>24</v>
      </c>
      <c r="B11" s="5">
        <f>COUNTIF(global_water_consumption.csv!J2:J1000, "High")</f>
        <v>18</v>
      </c>
    </row>
    <row r="12" spans="1:2" x14ac:dyDescent="0.2">
      <c r="A12" s="4"/>
    </row>
    <row r="13" spans="1:2" x14ac:dyDescent="0.2">
      <c r="A13" s="4"/>
    </row>
    <row r="14" spans="1:2" x14ac:dyDescent="0.2">
      <c r="A14" s="4"/>
    </row>
    <row r="15" spans="1:2" x14ac:dyDescent="0.2">
      <c r="A15" s="4"/>
    </row>
    <row r="16" spans="1:2" x14ac:dyDescent="0.2">
      <c r="A16" s="4"/>
    </row>
    <row r="17" spans="1:1" x14ac:dyDescent="0.2">
      <c r="A17" s="4"/>
    </row>
    <row r="18" spans="1:1" x14ac:dyDescent="0.2">
      <c r="A18" s="4"/>
    </row>
    <row r="19" spans="1:1" x14ac:dyDescent="0.2">
      <c r="A19" s="4"/>
    </row>
    <row r="20" spans="1:1" x14ac:dyDescent="0.2">
      <c r="A20" s="4"/>
    </row>
    <row r="21" spans="1:1" x14ac:dyDescent="0.2">
      <c r="A21" s="4"/>
    </row>
    <row r="22" spans="1:1" x14ac:dyDescent="0.2">
      <c r="A22" s="4"/>
    </row>
    <row r="23" spans="1:1" x14ac:dyDescent="0.2">
      <c r="A23" s="4"/>
    </row>
    <row r="24" spans="1:1" x14ac:dyDescent="0.2">
      <c r="A24" s="4"/>
    </row>
    <row r="25" spans="1:1" x14ac:dyDescent="0.2">
      <c r="A25" s="4"/>
    </row>
    <row r="26" spans="1:1" x14ac:dyDescent="0.2">
      <c r="A26" s="4"/>
    </row>
    <row r="27" spans="1:1" x14ac:dyDescent="0.2">
      <c r="A27" s="4"/>
    </row>
    <row r="28" spans="1:1" x14ac:dyDescent="0.2">
      <c r="A28" s="4"/>
    </row>
    <row r="29" spans="1:1" x14ac:dyDescent="0.2">
      <c r="A29" s="4"/>
    </row>
    <row r="30" spans="1:1" x14ac:dyDescent="0.2">
      <c r="A30" s="4"/>
    </row>
    <row r="31" spans="1:1" x14ac:dyDescent="0.2">
      <c r="A31" s="4"/>
    </row>
    <row r="32" spans="1:1" x14ac:dyDescent="0.2">
      <c r="A32" s="4"/>
    </row>
    <row r="33" spans="1:1" x14ac:dyDescent="0.2">
      <c r="A33" s="4"/>
    </row>
    <row r="34" spans="1:1" x14ac:dyDescent="0.2">
      <c r="A34" s="4"/>
    </row>
    <row r="35" spans="1:1" x14ac:dyDescent="0.2">
      <c r="A35" s="4"/>
    </row>
    <row r="36" spans="1:1" x14ac:dyDescent="0.2">
      <c r="A36" s="4"/>
    </row>
    <row r="37" spans="1:1" x14ac:dyDescent="0.2">
      <c r="A37" s="4"/>
    </row>
    <row r="38" spans="1:1" x14ac:dyDescent="0.2">
      <c r="A38" s="4"/>
    </row>
    <row r="39" spans="1:1" x14ac:dyDescent="0.2">
      <c r="A39" s="4"/>
    </row>
    <row r="40" spans="1:1" x14ac:dyDescent="0.2">
      <c r="A40" s="4"/>
    </row>
    <row r="41" spans="1:1" x14ac:dyDescent="0.2">
      <c r="A41" s="4"/>
    </row>
    <row r="42" spans="1:1" x14ac:dyDescent="0.2">
      <c r="A42" s="4"/>
    </row>
    <row r="43" spans="1:1" x14ac:dyDescent="0.2">
      <c r="A43" s="4"/>
    </row>
    <row r="44" spans="1:1" x14ac:dyDescent="0.2">
      <c r="A44" s="4"/>
    </row>
    <row r="45" spans="1:1" x14ac:dyDescent="0.2">
      <c r="A45" s="4"/>
    </row>
    <row r="46" spans="1:1" x14ac:dyDescent="0.2">
      <c r="A46" s="4"/>
    </row>
    <row r="47" spans="1:1" x14ac:dyDescent="0.2">
      <c r="A47" s="4"/>
    </row>
    <row r="48" spans="1:1" x14ac:dyDescent="0.2">
      <c r="A48" s="4"/>
    </row>
    <row r="49" spans="1:1" x14ac:dyDescent="0.2">
      <c r="A49" s="4"/>
    </row>
    <row r="50" spans="1:1" x14ac:dyDescent="0.2">
      <c r="A50" s="4"/>
    </row>
    <row r="51" spans="1:1" x14ac:dyDescent="0.2">
      <c r="A51" s="4"/>
    </row>
    <row r="52" spans="1:1" x14ac:dyDescent="0.2">
      <c r="A52" s="4"/>
    </row>
    <row r="53" spans="1:1" x14ac:dyDescent="0.2">
      <c r="A53" s="4"/>
    </row>
    <row r="54" spans="1:1" x14ac:dyDescent="0.2">
      <c r="A54" s="4"/>
    </row>
    <row r="55" spans="1:1" x14ac:dyDescent="0.2">
      <c r="A55" s="4"/>
    </row>
    <row r="56" spans="1:1" x14ac:dyDescent="0.2">
      <c r="A56" s="4"/>
    </row>
    <row r="57" spans="1:1" x14ac:dyDescent="0.2">
      <c r="A57" s="4"/>
    </row>
    <row r="58" spans="1:1" x14ac:dyDescent="0.2">
      <c r="A58" s="4"/>
    </row>
    <row r="59" spans="1:1" x14ac:dyDescent="0.2">
      <c r="A59" s="4"/>
    </row>
    <row r="60" spans="1:1" x14ac:dyDescent="0.2">
      <c r="A60" s="4"/>
    </row>
    <row r="61" spans="1:1" x14ac:dyDescent="0.2">
      <c r="A61" s="4"/>
    </row>
    <row r="62" spans="1:1" x14ac:dyDescent="0.2">
      <c r="A62" s="4"/>
    </row>
    <row r="63" spans="1:1" x14ac:dyDescent="0.2">
      <c r="A63" s="4"/>
    </row>
    <row r="64" spans="1:1" x14ac:dyDescent="0.2">
      <c r="A64" s="4"/>
    </row>
    <row r="65" spans="1:1" x14ac:dyDescent="0.2">
      <c r="A65" s="4"/>
    </row>
    <row r="66" spans="1:1" x14ac:dyDescent="0.2">
      <c r="A66" s="4"/>
    </row>
    <row r="67" spans="1:1" x14ac:dyDescent="0.2">
      <c r="A67" s="4"/>
    </row>
    <row r="68" spans="1:1" x14ac:dyDescent="0.2">
      <c r="A68" s="4"/>
    </row>
    <row r="69" spans="1:1" x14ac:dyDescent="0.2">
      <c r="A69" s="4"/>
    </row>
    <row r="70" spans="1:1" x14ac:dyDescent="0.2">
      <c r="A70" s="4"/>
    </row>
    <row r="71" spans="1:1" x14ac:dyDescent="0.2">
      <c r="A71" s="4"/>
    </row>
    <row r="72" spans="1:1" x14ac:dyDescent="0.2">
      <c r="A72" s="4"/>
    </row>
    <row r="73" spans="1:1" x14ac:dyDescent="0.2">
      <c r="A73" s="4"/>
    </row>
    <row r="74" spans="1:1" x14ac:dyDescent="0.2">
      <c r="A74" s="4"/>
    </row>
    <row r="75" spans="1:1" x14ac:dyDescent="0.2">
      <c r="A75" s="4"/>
    </row>
    <row r="76" spans="1:1" x14ac:dyDescent="0.2">
      <c r="A76" s="4"/>
    </row>
    <row r="77" spans="1:1" x14ac:dyDescent="0.2">
      <c r="A77" s="4"/>
    </row>
    <row r="78" spans="1:1" x14ac:dyDescent="0.2">
      <c r="A78" s="4"/>
    </row>
    <row r="79" spans="1:1" x14ac:dyDescent="0.2">
      <c r="A79" s="4"/>
    </row>
    <row r="80" spans="1:1" x14ac:dyDescent="0.2">
      <c r="A80" s="4"/>
    </row>
    <row r="81" spans="1:1" x14ac:dyDescent="0.2">
      <c r="A81" s="4"/>
    </row>
    <row r="82" spans="1:1" x14ac:dyDescent="0.2">
      <c r="A82" s="4"/>
    </row>
    <row r="83" spans="1:1" x14ac:dyDescent="0.2">
      <c r="A83" s="4"/>
    </row>
    <row r="84" spans="1:1" x14ac:dyDescent="0.2">
      <c r="A84" s="4"/>
    </row>
    <row r="85" spans="1:1" x14ac:dyDescent="0.2">
      <c r="A85" s="4"/>
    </row>
    <row r="86" spans="1:1" x14ac:dyDescent="0.2">
      <c r="A86" s="4"/>
    </row>
    <row r="87" spans="1:1" x14ac:dyDescent="0.2">
      <c r="A87" s="4"/>
    </row>
    <row r="88" spans="1:1" x14ac:dyDescent="0.2">
      <c r="A88" s="4"/>
    </row>
    <row r="89" spans="1:1" x14ac:dyDescent="0.2">
      <c r="A89" s="4"/>
    </row>
    <row r="90" spans="1:1" x14ac:dyDescent="0.2">
      <c r="A90" s="4"/>
    </row>
    <row r="91" spans="1:1" x14ac:dyDescent="0.2">
      <c r="A91" s="4"/>
    </row>
    <row r="92" spans="1:1" x14ac:dyDescent="0.2">
      <c r="A92" s="4"/>
    </row>
    <row r="93" spans="1:1" x14ac:dyDescent="0.2">
      <c r="A93" s="4"/>
    </row>
    <row r="94" spans="1:1" x14ac:dyDescent="0.2">
      <c r="A94" s="4"/>
    </row>
    <row r="95" spans="1:1" x14ac:dyDescent="0.2">
      <c r="A95" s="4"/>
    </row>
    <row r="96" spans="1:1" x14ac:dyDescent="0.2">
      <c r="A96" s="4"/>
    </row>
    <row r="97" spans="1:1" x14ac:dyDescent="0.2">
      <c r="A97" s="4"/>
    </row>
    <row r="98" spans="1:1" x14ac:dyDescent="0.2">
      <c r="A98" s="4"/>
    </row>
    <row r="99" spans="1:1" x14ac:dyDescent="0.2">
      <c r="A99" s="4"/>
    </row>
    <row r="100" spans="1:1" x14ac:dyDescent="0.2">
      <c r="A100" s="4"/>
    </row>
    <row r="101" spans="1:1" x14ac:dyDescent="0.2">
      <c r="A101" s="4"/>
    </row>
    <row r="102" spans="1:1" x14ac:dyDescent="0.2">
      <c r="A102" s="4"/>
    </row>
    <row r="103" spans="1:1" x14ac:dyDescent="0.2">
      <c r="A103" s="4"/>
    </row>
    <row r="104" spans="1:1" x14ac:dyDescent="0.2">
      <c r="A104" s="4"/>
    </row>
    <row r="105" spans="1:1" x14ac:dyDescent="0.2">
      <c r="A105" s="4"/>
    </row>
    <row r="106" spans="1:1" x14ac:dyDescent="0.2">
      <c r="A106" s="4"/>
    </row>
    <row r="107" spans="1:1" x14ac:dyDescent="0.2">
      <c r="A107" s="4"/>
    </row>
    <row r="108" spans="1:1" x14ac:dyDescent="0.2">
      <c r="A108" s="4"/>
    </row>
    <row r="109" spans="1:1" x14ac:dyDescent="0.2">
      <c r="A109" s="4"/>
    </row>
    <row r="110" spans="1:1" x14ac:dyDescent="0.2">
      <c r="A110" s="4"/>
    </row>
    <row r="111" spans="1:1" x14ac:dyDescent="0.2">
      <c r="A111" s="4"/>
    </row>
    <row r="112" spans="1:1" x14ac:dyDescent="0.2">
      <c r="A112" s="4"/>
    </row>
    <row r="113" spans="1:1" x14ac:dyDescent="0.2">
      <c r="A113" s="4"/>
    </row>
    <row r="114" spans="1:1" x14ac:dyDescent="0.2">
      <c r="A114" s="4"/>
    </row>
    <row r="115" spans="1:1" x14ac:dyDescent="0.2">
      <c r="A115" s="4"/>
    </row>
    <row r="116" spans="1:1" x14ac:dyDescent="0.2">
      <c r="A116" s="4"/>
    </row>
    <row r="117" spans="1:1" x14ac:dyDescent="0.2">
      <c r="A117" s="4"/>
    </row>
    <row r="118" spans="1:1" x14ac:dyDescent="0.2">
      <c r="A118" s="4"/>
    </row>
    <row r="119" spans="1:1" x14ac:dyDescent="0.2">
      <c r="A119" s="4"/>
    </row>
    <row r="120" spans="1:1" x14ac:dyDescent="0.2">
      <c r="A120" s="4"/>
    </row>
    <row r="121" spans="1:1" x14ac:dyDescent="0.2">
      <c r="A121" s="4"/>
    </row>
    <row r="122" spans="1:1" x14ac:dyDescent="0.2">
      <c r="A122" s="4"/>
    </row>
    <row r="123" spans="1:1" x14ac:dyDescent="0.2">
      <c r="A123" s="4"/>
    </row>
    <row r="124" spans="1:1" x14ac:dyDescent="0.2">
      <c r="A124" s="4"/>
    </row>
    <row r="125" spans="1:1" x14ac:dyDescent="0.2">
      <c r="A125" s="4"/>
    </row>
    <row r="126" spans="1:1" x14ac:dyDescent="0.2">
      <c r="A126" s="4"/>
    </row>
    <row r="127" spans="1:1" x14ac:dyDescent="0.2">
      <c r="A127" s="4"/>
    </row>
    <row r="128" spans="1:1" x14ac:dyDescent="0.2">
      <c r="A128" s="4"/>
    </row>
    <row r="129" spans="1:1" x14ac:dyDescent="0.2">
      <c r="A129" s="4"/>
    </row>
    <row r="130" spans="1:1" x14ac:dyDescent="0.2">
      <c r="A130" s="4"/>
    </row>
    <row r="131" spans="1:1" x14ac:dyDescent="0.2">
      <c r="A131" s="4"/>
    </row>
    <row r="132" spans="1:1" x14ac:dyDescent="0.2">
      <c r="A132" s="4"/>
    </row>
    <row r="133" spans="1:1" x14ac:dyDescent="0.2">
      <c r="A133" s="4"/>
    </row>
    <row r="134" spans="1:1" x14ac:dyDescent="0.2">
      <c r="A134" s="4"/>
    </row>
    <row r="135" spans="1:1" x14ac:dyDescent="0.2">
      <c r="A135" s="4"/>
    </row>
    <row r="136" spans="1:1" x14ac:dyDescent="0.2">
      <c r="A136" s="4"/>
    </row>
    <row r="137" spans="1:1" x14ac:dyDescent="0.2">
      <c r="A137" s="4"/>
    </row>
    <row r="138" spans="1:1" x14ac:dyDescent="0.2">
      <c r="A138" s="4"/>
    </row>
    <row r="139" spans="1:1" x14ac:dyDescent="0.2">
      <c r="A139" s="4"/>
    </row>
    <row r="140" spans="1:1" x14ac:dyDescent="0.2">
      <c r="A140" s="4"/>
    </row>
    <row r="141" spans="1:1" x14ac:dyDescent="0.2">
      <c r="A141" s="4"/>
    </row>
    <row r="142" spans="1:1" x14ac:dyDescent="0.2">
      <c r="A142" s="4"/>
    </row>
    <row r="143" spans="1:1" x14ac:dyDescent="0.2">
      <c r="A143" s="4"/>
    </row>
    <row r="144" spans="1:1" x14ac:dyDescent="0.2">
      <c r="A144" s="4"/>
    </row>
    <row r="145" spans="1:1" x14ac:dyDescent="0.2">
      <c r="A145" s="4"/>
    </row>
    <row r="146" spans="1:1" x14ac:dyDescent="0.2">
      <c r="A146" s="4"/>
    </row>
    <row r="147" spans="1:1" x14ac:dyDescent="0.2">
      <c r="A147" s="4"/>
    </row>
    <row r="148" spans="1:1" x14ac:dyDescent="0.2">
      <c r="A148" s="4"/>
    </row>
    <row r="149" spans="1:1" x14ac:dyDescent="0.2">
      <c r="A149" s="4"/>
    </row>
    <row r="150" spans="1:1" x14ac:dyDescent="0.2">
      <c r="A150" s="4"/>
    </row>
    <row r="151" spans="1:1" x14ac:dyDescent="0.2">
      <c r="A151" s="4"/>
    </row>
    <row r="152" spans="1:1" x14ac:dyDescent="0.2">
      <c r="A152" s="4"/>
    </row>
    <row r="153" spans="1:1" x14ac:dyDescent="0.2">
      <c r="A153" s="4"/>
    </row>
    <row r="154" spans="1:1" x14ac:dyDescent="0.2">
      <c r="A154" s="4"/>
    </row>
    <row r="155" spans="1:1" x14ac:dyDescent="0.2">
      <c r="A155" s="4"/>
    </row>
    <row r="156" spans="1:1" x14ac:dyDescent="0.2">
      <c r="A156" s="4"/>
    </row>
    <row r="157" spans="1:1" x14ac:dyDescent="0.2">
      <c r="A157" s="4"/>
    </row>
    <row r="158" spans="1:1" x14ac:dyDescent="0.2">
      <c r="A158" s="4"/>
    </row>
    <row r="159" spans="1:1" x14ac:dyDescent="0.2">
      <c r="A159" s="4"/>
    </row>
    <row r="160" spans="1:1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  <row r="605" spans="1:1" x14ac:dyDescent="0.2">
      <c r="A605" s="4"/>
    </row>
    <row r="606" spans="1:1" x14ac:dyDescent="0.2">
      <c r="A606" s="4"/>
    </row>
    <row r="607" spans="1:1" x14ac:dyDescent="0.2">
      <c r="A607" s="4"/>
    </row>
    <row r="608" spans="1:1" x14ac:dyDescent="0.2">
      <c r="A608" s="4"/>
    </row>
    <row r="609" spans="1:1" x14ac:dyDescent="0.2">
      <c r="A609" s="4"/>
    </row>
    <row r="610" spans="1:1" x14ac:dyDescent="0.2">
      <c r="A610" s="4"/>
    </row>
    <row r="611" spans="1:1" x14ac:dyDescent="0.2">
      <c r="A611" s="4"/>
    </row>
    <row r="612" spans="1:1" x14ac:dyDescent="0.2">
      <c r="A612" s="4"/>
    </row>
    <row r="613" spans="1:1" x14ac:dyDescent="0.2">
      <c r="A613" s="4"/>
    </row>
    <row r="614" spans="1:1" x14ac:dyDescent="0.2">
      <c r="A614" s="4"/>
    </row>
    <row r="615" spans="1:1" x14ac:dyDescent="0.2">
      <c r="A615" s="4"/>
    </row>
    <row r="616" spans="1:1" x14ac:dyDescent="0.2">
      <c r="A616" s="4"/>
    </row>
    <row r="617" spans="1:1" x14ac:dyDescent="0.2">
      <c r="A617" s="4"/>
    </row>
    <row r="618" spans="1:1" x14ac:dyDescent="0.2">
      <c r="A618" s="4"/>
    </row>
    <row r="619" spans="1:1" x14ac:dyDescent="0.2">
      <c r="A619" s="4"/>
    </row>
    <row r="620" spans="1:1" x14ac:dyDescent="0.2">
      <c r="A620" s="4"/>
    </row>
    <row r="621" spans="1:1" x14ac:dyDescent="0.2">
      <c r="A621" s="4"/>
    </row>
    <row r="622" spans="1:1" x14ac:dyDescent="0.2">
      <c r="A622" s="4"/>
    </row>
    <row r="623" spans="1:1" x14ac:dyDescent="0.2">
      <c r="A623" s="4"/>
    </row>
    <row r="624" spans="1:1" x14ac:dyDescent="0.2">
      <c r="A624" s="4"/>
    </row>
    <row r="625" spans="1:1" x14ac:dyDescent="0.2">
      <c r="A625" s="4"/>
    </row>
    <row r="626" spans="1:1" x14ac:dyDescent="0.2">
      <c r="A626" s="4"/>
    </row>
    <row r="627" spans="1:1" x14ac:dyDescent="0.2">
      <c r="A627" s="4"/>
    </row>
    <row r="628" spans="1:1" x14ac:dyDescent="0.2">
      <c r="A628" s="4"/>
    </row>
    <row r="629" spans="1:1" x14ac:dyDescent="0.2">
      <c r="A629" s="4"/>
    </row>
    <row r="630" spans="1:1" x14ac:dyDescent="0.2">
      <c r="A630" s="4"/>
    </row>
    <row r="631" spans="1:1" x14ac:dyDescent="0.2">
      <c r="A631" s="4"/>
    </row>
    <row r="632" spans="1:1" x14ac:dyDescent="0.2">
      <c r="A632" s="4"/>
    </row>
    <row r="633" spans="1:1" x14ac:dyDescent="0.2">
      <c r="A633" s="4"/>
    </row>
    <row r="634" spans="1:1" x14ac:dyDescent="0.2">
      <c r="A634" s="4"/>
    </row>
    <row r="635" spans="1:1" x14ac:dyDescent="0.2">
      <c r="A635" s="4"/>
    </row>
    <row r="636" spans="1:1" x14ac:dyDescent="0.2">
      <c r="A636" s="4"/>
    </row>
    <row r="637" spans="1:1" x14ac:dyDescent="0.2">
      <c r="A637" s="4"/>
    </row>
    <row r="638" spans="1:1" x14ac:dyDescent="0.2">
      <c r="A638" s="4"/>
    </row>
    <row r="639" spans="1:1" x14ac:dyDescent="0.2">
      <c r="A639" s="4"/>
    </row>
    <row r="640" spans="1:1" x14ac:dyDescent="0.2">
      <c r="A640" s="4"/>
    </row>
    <row r="641" spans="1:1" x14ac:dyDescent="0.2">
      <c r="A641" s="4"/>
    </row>
    <row r="642" spans="1:1" x14ac:dyDescent="0.2">
      <c r="A642" s="4"/>
    </row>
    <row r="643" spans="1:1" x14ac:dyDescent="0.2">
      <c r="A643" s="4"/>
    </row>
    <row r="644" spans="1:1" x14ac:dyDescent="0.2">
      <c r="A644" s="4"/>
    </row>
    <row r="645" spans="1:1" x14ac:dyDescent="0.2">
      <c r="A645" s="4"/>
    </row>
    <row r="646" spans="1:1" x14ac:dyDescent="0.2">
      <c r="A646" s="4"/>
    </row>
    <row r="647" spans="1:1" x14ac:dyDescent="0.2">
      <c r="A647" s="4"/>
    </row>
    <row r="648" spans="1:1" x14ac:dyDescent="0.2">
      <c r="A648" s="4"/>
    </row>
    <row r="649" spans="1:1" x14ac:dyDescent="0.2">
      <c r="A649" s="4"/>
    </row>
    <row r="650" spans="1:1" x14ac:dyDescent="0.2">
      <c r="A650" s="4"/>
    </row>
    <row r="651" spans="1:1" x14ac:dyDescent="0.2">
      <c r="A651" s="4"/>
    </row>
    <row r="652" spans="1:1" x14ac:dyDescent="0.2">
      <c r="A652" s="4"/>
    </row>
    <row r="653" spans="1:1" x14ac:dyDescent="0.2">
      <c r="A653" s="4"/>
    </row>
    <row r="654" spans="1:1" x14ac:dyDescent="0.2">
      <c r="A654" s="4"/>
    </row>
    <row r="655" spans="1:1" x14ac:dyDescent="0.2">
      <c r="A655" s="4"/>
    </row>
    <row r="656" spans="1:1" x14ac:dyDescent="0.2">
      <c r="A656" s="4"/>
    </row>
    <row r="657" spans="1:1" x14ac:dyDescent="0.2">
      <c r="A657" s="4"/>
    </row>
    <row r="658" spans="1:1" x14ac:dyDescent="0.2">
      <c r="A658" s="4"/>
    </row>
    <row r="659" spans="1:1" x14ac:dyDescent="0.2">
      <c r="A659" s="4"/>
    </row>
    <row r="660" spans="1:1" x14ac:dyDescent="0.2">
      <c r="A660" s="4"/>
    </row>
    <row r="661" spans="1:1" x14ac:dyDescent="0.2">
      <c r="A661" s="4"/>
    </row>
    <row r="662" spans="1:1" x14ac:dyDescent="0.2">
      <c r="A662" s="4"/>
    </row>
    <row r="663" spans="1:1" x14ac:dyDescent="0.2">
      <c r="A663" s="4"/>
    </row>
    <row r="664" spans="1:1" x14ac:dyDescent="0.2">
      <c r="A664" s="4"/>
    </row>
    <row r="665" spans="1:1" x14ac:dyDescent="0.2">
      <c r="A665" s="4"/>
    </row>
    <row r="666" spans="1:1" x14ac:dyDescent="0.2">
      <c r="A666" s="4"/>
    </row>
    <row r="667" spans="1:1" x14ac:dyDescent="0.2">
      <c r="A667" s="4"/>
    </row>
    <row r="668" spans="1:1" x14ac:dyDescent="0.2">
      <c r="A668" s="4"/>
    </row>
    <row r="669" spans="1:1" x14ac:dyDescent="0.2">
      <c r="A669" s="4"/>
    </row>
    <row r="670" spans="1:1" x14ac:dyDescent="0.2">
      <c r="A670" s="4"/>
    </row>
    <row r="671" spans="1:1" x14ac:dyDescent="0.2">
      <c r="A671" s="4"/>
    </row>
    <row r="672" spans="1:1" x14ac:dyDescent="0.2">
      <c r="A672" s="4"/>
    </row>
    <row r="673" spans="1:1" x14ac:dyDescent="0.2">
      <c r="A673" s="4"/>
    </row>
    <row r="674" spans="1:1" x14ac:dyDescent="0.2">
      <c r="A674" s="4"/>
    </row>
    <row r="675" spans="1:1" x14ac:dyDescent="0.2">
      <c r="A675" s="4"/>
    </row>
    <row r="676" spans="1:1" x14ac:dyDescent="0.2">
      <c r="A676" s="4"/>
    </row>
    <row r="677" spans="1:1" x14ac:dyDescent="0.2">
      <c r="A677" s="4"/>
    </row>
    <row r="678" spans="1:1" x14ac:dyDescent="0.2">
      <c r="A678" s="4"/>
    </row>
    <row r="679" spans="1:1" x14ac:dyDescent="0.2">
      <c r="A679" s="4"/>
    </row>
    <row r="680" spans="1:1" x14ac:dyDescent="0.2">
      <c r="A680" s="4"/>
    </row>
    <row r="681" spans="1:1" x14ac:dyDescent="0.2">
      <c r="A681" s="4"/>
    </row>
    <row r="682" spans="1:1" x14ac:dyDescent="0.2">
      <c r="A682" s="4"/>
    </row>
    <row r="683" spans="1:1" x14ac:dyDescent="0.2">
      <c r="A683" s="4"/>
    </row>
    <row r="684" spans="1:1" x14ac:dyDescent="0.2">
      <c r="A684" s="4"/>
    </row>
    <row r="685" spans="1:1" x14ac:dyDescent="0.2">
      <c r="A685" s="4"/>
    </row>
    <row r="686" spans="1:1" x14ac:dyDescent="0.2">
      <c r="A686" s="4"/>
    </row>
    <row r="687" spans="1:1" x14ac:dyDescent="0.2">
      <c r="A687" s="4"/>
    </row>
    <row r="688" spans="1:1" x14ac:dyDescent="0.2">
      <c r="A688" s="4"/>
    </row>
    <row r="689" spans="1:1" x14ac:dyDescent="0.2">
      <c r="A689" s="4"/>
    </row>
    <row r="690" spans="1:1" x14ac:dyDescent="0.2">
      <c r="A690" s="4"/>
    </row>
    <row r="691" spans="1:1" x14ac:dyDescent="0.2">
      <c r="A691" s="4"/>
    </row>
    <row r="692" spans="1:1" x14ac:dyDescent="0.2">
      <c r="A692" s="4"/>
    </row>
    <row r="693" spans="1:1" x14ac:dyDescent="0.2">
      <c r="A693" s="4"/>
    </row>
    <row r="694" spans="1:1" x14ac:dyDescent="0.2">
      <c r="A694" s="4"/>
    </row>
    <row r="695" spans="1:1" x14ac:dyDescent="0.2">
      <c r="A695" s="4"/>
    </row>
    <row r="696" spans="1:1" x14ac:dyDescent="0.2">
      <c r="A696" s="4"/>
    </row>
    <row r="697" spans="1:1" x14ac:dyDescent="0.2">
      <c r="A697" s="4"/>
    </row>
    <row r="698" spans="1:1" x14ac:dyDescent="0.2">
      <c r="A698" s="4"/>
    </row>
    <row r="699" spans="1:1" x14ac:dyDescent="0.2">
      <c r="A699" s="4"/>
    </row>
    <row r="700" spans="1:1" x14ac:dyDescent="0.2">
      <c r="A700" s="4"/>
    </row>
    <row r="701" spans="1:1" x14ac:dyDescent="0.2">
      <c r="A701" s="4"/>
    </row>
    <row r="702" spans="1:1" x14ac:dyDescent="0.2">
      <c r="A702" s="4"/>
    </row>
    <row r="703" spans="1:1" x14ac:dyDescent="0.2">
      <c r="A703" s="4"/>
    </row>
    <row r="704" spans="1:1" x14ac:dyDescent="0.2">
      <c r="A704" s="4"/>
    </row>
    <row r="705" spans="1:1" x14ac:dyDescent="0.2">
      <c r="A705" s="4"/>
    </row>
    <row r="706" spans="1:1" x14ac:dyDescent="0.2">
      <c r="A706" s="4"/>
    </row>
    <row r="707" spans="1:1" x14ac:dyDescent="0.2">
      <c r="A707" s="4"/>
    </row>
    <row r="708" spans="1:1" x14ac:dyDescent="0.2">
      <c r="A708" s="4"/>
    </row>
    <row r="709" spans="1:1" x14ac:dyDescent="0.2">
      <c r="A709" s="4"/>
    </row>
    <row r="710" spans="1:1" x14ac:dyDescent="0.2">
      <c r="A710" s="4"/>
    </row>
    <row r="711" spans="1:1" x14ac:dyDescent="0.2">
      <c r="A711" s="4"/>
    </row>
    <row r="712" spans="1:1" x14ac:dyDescent="0.2">
      <c r="A712" s="4"/>
    </row>
    <row r="713" spans="1:1" x14ac:dyDescent="0.2">
      <c r="A713" s="4"/>
    </row>
    <row r="714" spans="1:1" x14ac:dyDescent="0.2">
      <c r="A714" s="4"/>
    </row>
    <row r="715" spans="1:1" x14ac:dyDescent="0.2">
      <c r="A715" s="4"/>
    </row>
    <row r="716" spans="1:1" x14ac:dyDescent="0.2">
      <c r="A716" s="4"/>
    </row>
    <row r="717" spans="1:1" x14ac:dyDescent="0.2">
      <c r="A717" s="4"/>
    </row>
    <row r="718" spans="1:1" x14ac:dyDescent="0.2">
      <c r="A718" s="4"/>
    </row>
    <row r="719" spans="1:1" x14ac:dyDescent="0.2">
      <c r="A719" s="4"/>
    </row>
    <row r="720" spans="1:1" x14ac:dyDescent="0.2">
      <c r="A720" s="4"/>
    </row>
    <row r="721" spans="1:1" x14ac:dyDescent="0.2">
      <c r="A721" s="4"/>
    </row>
    <row r="722" spans="1:1" x14ac:dyDescent="0.2">
      <c r="A722" s="4"/>
    </row>
    <row r="723" spans="1:1" x14ac:dyDescent="0.2">
      <c r="A723" s="4"/>
    </row>
    <row r="724" spans="1:1" x14ac:dyDescent="0.2">
      <c r="A724" s="4"/>
    </row>
    <row r="725" spans="1:1" x14ac:dyDescent="0.2">
      <c r="A725" s="4"/>
    </row>
    <row r="726" spans="1:1" x14ac:dyDescent="0.2">
      <c r="A726" s="4"/>
    </row>
    <row r="727" spans="1:1" x14ac:dyDescent="0.2">
      <c r="A727" s="4"/>
    </row>
    <row r="728" spans="1:1" x14ac:dyDescent="0.2">
      <c r="A728" s="4"/>
    </row>
    <row r="729" spans="1:1" x14ac:dyDescent="0.2">
      <c r="A729" s="4"/>
    </row>
    <row r="730" spans="1:1" x14ac:dyDescent="0.2">
      <c r="A730" s="4"/>
    </row>
    <row r="731" spans="1:1" x14ac:dyDescent="0.2">
      <c r="A731" s="4"/>
    </row>
    <row r="732" spans="1:1" x14ac:dyDescent="0.2">
      <c r="A732" s="4"/>
    </row>
    <row r="733" spans="1:1" x14ac:dyDescent="0.2">
      <c r="A733" s="4"/>
    </row>
    <row r="734" spans="1:1" x14ac:dyDescent="0.2">
      <c r="A734" s="4"/>
    </row>
    <row r="735" spans="1:1" x14ac:dyDescent="0.2">
      <c r="A735" s="4"/>
    </row>
    <row r="736" spans="1:1" x14ac:dyDescent="0.2">
      <c r="A736" s="4"/>
    </row>
    <row r="737" spans="1:1" x14ac:dyDescent="0.2">
      <c r="A737" s="4"/>
    </row>
    <row r="738" spans="1:1" x14ac:dyDescent="0.2">
      <c r="A738" s="4"/>
    </row>
    <row r="739" spans="1:1" x14ac:dyDescent="0.2">
      <c r="A739" s="4"/>
    </row>
    <row r="740" spans="1:1" x14ac:dyDescent="0.2">
      <c r="A740" s="4"/>
    </row>
    <row r="741" spans="1:1" x14ac:dyDescent="0.2">
      <c r="A741" s="4"/>
    </row>
    <row r="742" spans="1:1" x14ac:dyDescent="0.2">
      <c r="A742" s="4"/>
    </row>
    <row r="743" spans="1:1" x14ac:dyDescent="0.2">
      <c r="A743" s="4"/>
    </row>
    <row r="744" spans="1:1" x14ac:dyDescent="0.2">
      <c r="A744" s="4"/>
    </row>
    <row r="745" spans="1:1" x14ac:dyDescent="0.2">
      <c r="A745" s="4"/>
    </row>
    <row r="746" spans="1:1" x14ac:dyDescent="0.2">
      <c r="A746" s="4"/>
    </row>
    <row r="747" spans="1:1" x14ac:dyDescent="0.2">
      <c r="A747" s="4"/>
    </row>
    <row r="748" spans="1:1" x14ac:dyDescent="0.2">
      <c r="A748" s="4"/>
    </row>
    <row r="749" spans="1:1" x14ac:dyDescent="0.2">
      <c r="A749" s="4"/>
    </row>
    <row r="750" spans="1:1" x14ac:dyDescent="0.2">
      <c r="A750" s="4"/>
    </row>
    <row r="751" spans="1:1" x14ac:dyDescent="0.2">
      <c r="A751" s="4"/>
    </row>
    <row r="752" spans="1:1" x14ac:dyDescent="0.2">
      <c r="A752" s="4"/>
    </row>
    <row r="753" spans="1:1" x14ac:dyDescent="0.2">
      <c r="A753" s="4"/>
    </row>
    <row r="754" spans="1:1" x14ac:dyDescent="0.2">
      <c r="A754" s="4"/>
    </row>
    <row r="755" spans="1:1" x14ac:dyDescent="0.2">
      <c r="A755" s="4"/>
    </row>
    <row r="756" spans="1:1" x14ac:dyDescent="0.2">
      <c r="A756" s="4"/>
    </row>
    <row r="757" spans="1:1" x14ac:dyDescent="0.2">
      <c r="A757" s="4"/>
    </row>
    <row r="758" spans="1:1" x14ac:dyDescent="0.2">
      <c r="A758" s="4"/>
    </row>
    <row r="759" spans="1:1" x14ac:dyDescent="0.2">
      <c r="A759" s="4"/>
    </row>
    <row r="760" spans="1:1" x14ac:dyDescent="0.2">
      <c r="A760" s="4"/>
    </row>
    <row r="761" spans="1:1" x14ac:dyDescent="0.2">
      <c r="A761" s="4"/>
    </row>
    <row r="762" spans="1:1" x14ac:dyDescent="0.2">
      <c r="A762" s="4"/>
    </row>
    <row r="763" spans="1:1" x14ac:dyDescent="0.2">
      <c r="A763" s="4"/>
    </row>
    <row r="764" spans="1:1" x14ac:dyDescent="0.2">
      <c r="A764" s="4"/>
    </row>
    <row r="765" spans="1:1" x14ac:dyDescent="0.2">
      <c r="A765" s="4"/>
    </row>
    <row r="766" spans="1:1" x14ac:dyDescent="0.2">
      <c r="A766" s="4"/>
    </row>
    <row r="767" spans="1:1" x14ac:dyDescent="0.2">
      <c r="A767" s="4"/>
    </row>
    <row r="768" spans="1:1" x14ac:dyDescent="0.2">
      <c r="A768" s="4"/>
    </row>
    <row r="769" spans="1:1" x14ac:dyDescent="0.2">
      <c r="A769" s="4"/>
    </row>
    <row r="770" spans="1:1" x14ac:dyDescent="0.2">
      <c r="A770" s="4"/>
    </row>
    <row r="771" spans="1:1" x14ac:dyDescent="0.2">
      <c r="A771" s="4"/>
    </row>
    <row r="772" spans="1:1" x14ac:dyDescent="0.2">
      <c r="A772" s="4"/>
    </row>
    <row r="773" spans="1:1" x14ac:dyDescent="0.2">
      <c r="A773" s="4"/>
    </row>
    <row r="774" spans="1:1" x14ac:dyDescent="0.2">
      <c r="A774" s="4"/>
    </row>
    <row r="775" spans="1:1" x14ac:dyDescent="0.2">
      <c r="A775" s="4"/>
    </row>
    <row r="776" spans="1:1" x14ac:dyDescent="0.2">
      <c r="A776" s="4"/>
    </row>
    <row r="777" spans="1:1" x14ac:dyDescent="0.2">
      <c r="A777" s="4"/>
    </row>
    <row r="778" spans="1:1" x14ac:dyDescent="0.2">
      <c r="A778" s="4"/>
    </row>
    <row r="779" spans="1:1" x14ac:dyDescent="0.2">
      <c r="A779" s="4"/>
    </row>
    <row r="780" spans="1:1" x14ac:dyDescent="0.2">
      <c r="A780" s="4"/>
    </row>
    <row r="781" spans="1:1" x14ac:dyDescent="0.2">
      <c r="A781" s="4"/>
    </row>
    <row r="782" spans="1:1" x14ac:dyDescent="0.2">
      <c r="A782" s="4"/>
    </row>
    <row r="783" spans="1:1" x14ac:dyDescent="0.2">
      <c r="A783" s="4"/>
    </row>
    <row r="784" spans="1:1" x14ac:dyDescent="0.2">
      <c r="A784" s="4"/>
    </row>
    <row r="785" spans="1:1" x14ac:dyDescent="0.2">
      <c r="A785" s="4"/>
    </row>
    <row r="786" spans="1:1" x14ac:dyDescent="0.2">
      <c r="A786" s="4"/>
    </row>
    <row r="787" spans="1:1" x14ac:dyDescent="0.2">
      <c r="A787" s="4"/>
    </row>
    <row r="788" spans="1:1" x14ac:dyDescent="0.2">
      <c r="A788" s="4"/>
    </row>
    <row r="789" spans="1:1" x14ac:dyDescent="0.2">
      <c r="A789" s="4"/>
    </row>
    <row r="790" spans="1:1" x14ac:dyDescent="0.2">
      <c r="A790" s="4"/>
    </row>
    <row r="791" spans="1:1" x14ac:dyDescent="0.2">
      <c r="A791" s="4"/>
    </row>
    <row r="792" spans="1:1" x14ac:dyDescent="0.2">
      <c r="A792" s="4"/>
    </row>
    <row r="793" spans="1:1" x14ac:dyDescent="0.2">
      <c r="A793" s="4"/>
    </row>
    <row r="794" spans="1:1" x14ac:dyDescent="0.2">
      <c r="A794" s="4"/>
    </row>
    <row r="795" spans="1:1" x14ac:dyDescent="0.2">
      <c r="A795" s="4"/>
    </row>
    <row r="796" spans="1:1" x14ac:dyDescent="0.2">
      <c r="A796" s="4"/>
    </row>
    <row r="797" spans="1:1" x14ac:dyDescent="0.2">
      <c r="A797" s="4"/>
    </row>
    <row r="798" spans="1:1" x14ac:dyDescent="0.2">
      <c r="A798" s="4"/>
    </row>
    <row r="799" spans="1:1" x14ac:dyDescent="0.2">
      <c r="A799" s="4"/>
    </row>
    <row r="800" spans="1:1" x14ac:dyDescent="0.2">
      <c r="A800" s="4"/>
    </row>
    <row r="801" spans="1:1" x14ac:dyDescent="0.2">
      <c r="A801" s="4"/>
    </row>
    <row r="802" spans="1:1" x14ac:dyDescent="0.2">
      <c r="A802" s="4"/>
    </row>
    <row r="803" spans="1:1" x14ac:dyDescent="0.2">
      <c r="A803" s="4"/>
    </row>
    <row r="804" spans="1:1" x14ac:dyDescent="0.2">
      <c r="A804" s="4"/>
    </row>
    <row r="805" spans="1:1" x14ac:dyDescent="0.2">
      <c r="A805" s="4"/>
    </row>
    <row r="806" spans="1:1" x14ac:dyDescent="0.2">
      <c r="A806" s="4"/>
    </row>
    <row r="807" spans="1:1" x14ac:dyDescent="0.2">
      <c r="A807" s="4"/>
    </row>
    <row r="808" spans="1:1" x14ac:dyDescent="0.2">
      <c r="A808" s="4"/>
    </row>
    <row r="809" spans="1:1" x14ac:dyDescent="0.2">
      <c r="A809" s="4"/>
    </row>
    <row r="810" spans="1:1" x14ac:dyDescent="0.2">
      <c r="A810" s="4"/>
    </row>
    <row r="811" spans="1:1" x14ac:dyDescent="0.2">
      <c r="A811" s="4"/>
    </row>
    <row r="812" spans="1:1" x14ac:dyDescent="0.2">
      <c r="A812" s="4"/>
    </row>
    <row r="813" spans="1:1" x14ac:dyDescent="0.2">
      <c r="A813" s="4"/>
    </row>
    <row r="814" spans="1:1" x14ac:dyDescent="0.2">
      <c r="A814" s="4"/>
    </row>
    <row r="815" spans="1:1" x14ac:dyDescent="0.2">
      <c r="A815" s="4"/>
    </row>
    <row r="816" spans="1:1" x14ac:dyDescent="0.2">
      <c r="A816" s="4"/>
    </row>
    <row r="817" spans="1:1" x14ac:dyDescent="0.2">
      <c r="A817" s="4"/>
    </row>
    <row r="818" spans="1:1" x14ac:dyDescent="0.2">
      <c r="A818" s="4"/>
    </row>
    <row r="819" spans="1:1" x14ac:dyDescent="0.2">
      <c r="A819" s="4"/>
    </row>
    <row r="820" spans="1:1" x14ac:dyDescent="0.2">
      <c r="A820" s="4"/>
    </row>
    <row r="821" spans="1:1" x14ac:dyDescent="0.2">
      <c r="A821" s="4"/>
    </row>
    <row r="822" spans="1:1" x14ac:dyDescent="0.2">
      <c r="A822" s="4"/>
    </row>
    <row r="823" spans="1:1" x14ac:dyDescent="0.2">
      <c r="A823" s="4"/>
    </row>
    <row r="824" spans="1:1" x14ac:dyDescent="0.2">
      <c r="A824" s="4"/>
    </row>
    <row r="825" spans="1:1" x14ac:dyDescent="0.2">
      <c r="A825" s="4"/>
    </row>
    <row r="826" spans="1:1" x14ac:dyDescent="0.2">
      <c r="A826" s="4"/>
    </row>
    <row r="827" spans="1:1" x14ac:dyDescent="0.2">
      <c r="A827" s="4"/>
    </row>
    <row r="828" spans="1:1" x14ac:dyDescent="0.2">
      <c r="A828" s="4"/>
    </row>
    <row r="829" spans="1:1" x14ac:dyDescent="0.2">
      <c r="A829" s="4"/>
    </row>
    <row r="830" spans="1:1" x14ac:dyDescent="0.2">
      <c r="A830" s="4"/>
    </row>
    <row r="831" spans="1:1" x14ac:dyDescent="0.2">
      <c r="A831" s="4"/>
    </row>
    <row r="832" spans="1:1" x14ac:dyDescent="0.2">
      <c r="A832" s="4"/>
    </row>
    <row r="833" spans="1:1" x14ac:dyDescent="0.2">
      <c r="A833" s="4"/>
    </row>
    <row r="834" spans="1:1" x14ac:dyDescent="0.2">
      <c r="A834" s="4"/>
    </row>
    <row r="835" spans="1:1" x14ac:dyDescent="0.2">
      <c r="A835" s="4"/>
    </row>
    <row r="836" spans="1:1" x14ac:dyDescent="0.2">
      <c r="A836" s="4"/>
    </row>
    <row r="837" spans="1:1" x14ac:dyDescent="0.2">
      <c r="A837" s="4"/>
    </row>
    <row r="838" spans="1:1" x14ac:dyDescent="0.2">
      <c r="A838" s="4"/>
    </row>
    <row r="839" spans="1:1" x14ac:dyDescent="0.2">
      <c r="A839" s="4"/>
    </row>
    <row r="840" spans="1:1" x14ac:dyDescent="0.2">
      <c r="A840" s="4"/>
    </row>
    <row r="841" spans="1:1" x14ac:dyDescent="0.2">
      <c r="A841" s="4"/>
    </row>
    <row r="842" spans="1:1" x14ac:dyDescent="0.2">
      <c r="A842" s="4"/>
    </row>
    <row r="843" spans="1:1" x14ac:dyDescent="0.2">
      <c r="A843" s="4"/>
    </row>
    <row r="844" spans="1:1" x14ac:dyDescent="0.2">
      <c r="A844" s="4"/>
    </row>
    <row r="845" spans="1:1" x14ac:dyDescent="0.2">
      <c r="A845" s="4"/>
    </row>
    <row r="846" spans="1:1" x14ac:dyDescent="0.2">
      <c r="A846" s="4"/>
    </row>
    <row r="847" spans="1:1" x14ac:dyDescent="0.2">
      <c r="A847" s="4"/>
    </row>
    <row r="848" spans="1:1" x14ac:dyDescent="0.2">
      <c r="A848" s="4"/>
    </row>
    <row r="849" spans="1:1" x14ac:dyDescent="0.2">
      <c r="A849" s="4"/>
    </row>
    <row r="850" spans="1:1" x14ac:dyDescent="0.2">
      <c r="A850" s="4"/>
    </row>
    <row r="851" spans="1:1" x14ac:dyDescent="0.2">
      <c r="A851" s="4"/>
    </row>
    <row r="852" spans="1:1" x14ac:dyDescent="0.2">
      <c r="A852" s="4"/>
    </row>
    <row r="853" spans="1:1" x14ac:dyDescent="0.2">
      <c r="A853" s="4"/>
    </row>
    <row r="854" spans="1:1" x14ac:dyDescent="0.2">
      <c r="A854" s="4"/>
    </row>
    <row r="855" spans="1:1" x14ac:dyDescent="0.2">
      <c r="A855" s="4"/>
    </row>
    <row r="856" spans="1:1" x14ac:dyDescent="0.2">
      <c r="A856" s="4"/>
    </row>
    <row r="857" spans="1:1" x14ac:dyDescent="0.2">
      <c r="A857" s="4"/>
    </row>
    <row r="858" spans="1:1" x14ac:dyDescent="0.2">
      <c r="A858" s="4"/>
    </row>
    <row r="859" spans="1:1" x14ac:dyDescent="0.2">
      <c r="A859" s="4"/>
    </row>
    <row r="860" spans="1:1" x14ac:dyDescent="0.2">
      <c r="A860" s="4"/>
    </row>
    <row r="861" spans="1:1" x14ac:dyDescent="0.2">
      <c r="A861" s="4"/>
    </row>
    <row r="862" spans="1:1" x14ac:dyDescent="0.2">
      <c r="A862" s="4"/>
    </row>
    <row r="863" spans="1:1" x14ac:dyDescent="0.2">
      <c r="A863" s="4"/>
    </row>
    <row r="864" spans="1:1" x14ac:dyDescent="0.2">
      <c r="A864" s="4"/>
    </row>
    <row r="865" spans="1:1" x14ac:dyDescent="0.2">
      <c r="A865" s="4"/>
    </row>
    <row r="866" spans="1:1" x14ac:dyDescent="0.2">
      <c r="A866" s="4"/>
    </row>
    <row r="867" spans="1:1" x14ac:dyDescent="0.2">
      <c r="A867" s="4"/>
    </row>
    <row r="868" spans="1:1" x14ac:dyDescent="0.2">
      <c r="A868" s="4"/>
    </row>
    <row r="869" spans="1:1" x14ac:dyDescent="0.2">
      <c r="A869" s="4"/>
    </row>
    <row r="870" spans="1:1" x14ac:dyDescent="0.2">
      <c r="A870" s="4"/>
    </row>
    <row r="871" spans="1:1" x14ac:dyDescent="0.2">
      <c r="A871" s="4"/>
    </row>
    <row r="872" spans="1:1" x14ac:dyDescent="0.2">
      <c r="A872" s="4"/>
    </row>
    <row r="873" spans="1:1" x14ac:dyDescent="0.2">
      <c r="A873" s="4"/>
    </row>
    <row r="874" spans="1:1" x14ac:dyDescent="0.2">
      <c r="A874" s="4"/>
    </row>
    <row r="875" spans="1:1" x14ac:dyDescent="0.2">
      <c r="A875" s="4"/>
    </row>
    <row r="876" spans="1:1" x14ac:dyDescent="0.2">
      <c r="A876" s="4"/>
    </row>
    <row r="877" spans="1:1" x14ac:dyDescent="0.2">
      <c r="A877" s="4"/>
    </row>
    <row r="878" spans="1:1" x14ac:dyDescent="0.2">
      <c r="A878" s="4"/>
    </row>
    <row r="879" spans="1:1" x14ac:dyDescent="0.2">
      <c r="A879" s="4"/>
    </row>
    <row r="880" spans="1:1" x14ac:dyDescent="0.2">
      <c r="A880" s="4"/>
    </row>
    <row r="881" spans="1:1" x14ac:dyDescent="0.2">
      <c r="A881" s="4"/>
    </row>
    <row r="882" spans="1:1" x14ac:dyDescent="0.2">
      <c r="A882" s="4"/>
    </row>
    <row r="883" spans="1:1" x14ac:dyDescent="0.2">
      <c r="A883" s="4"/>
    </row>
    <row r="884" spans="1:1" x14ac:dyDescent="0.2">
      <c r="A884" s="4"/>
    </row>
    <row r="885" spans="1:1" x14ac:dyDescent="0.2">
      <c r="A885" s="4"/>
    </row>
    <row r="886" spans="1:1" x14ac:dyDescent="0.2">
      <c r="A886" s="4"/>
    </row>
    <row r="887" spans="1:1" x14ac:dyDescent="0.2">
      <c r="A887" s="4"/>
    </row>
    <row r="888" spans="1:1" x14ac:dyDescent="0.2">
      <c r="A888" s="4"/>
    </row>
    <row r="889" spans="1:1" x14ac:dyDescent="0.2">
      <c r="A889" s="4"/>
    </row>
    <row r="890" spans="1:1" x14ac:dyDescent="0.2">
      <c r="A890" s="4"/>
    </row>
    <row r="891" spans="1:1" x14ac:dyDescent="0.2">
      <c r="A891" s="4"/>
    </row>
    <row r="892" spans="1:1" x14ac:dyDescent="0.2">
      <c r="A892" s="4"/>
    </row>
    <row r="893" spans="1:1" x14ac:dyDescent="0.2">
      <c r="A893" s="4"/>
    </row>
    <row r="894" spans="1:1" x14ac:dyDescent="0.2">
      <c r="A894" s="4"/>
    </row>
    <row r="895" spans="1:1" x14ac:dyDescent="0.2">
      <c r="A895" s="4"/>
    </row>
    <row r="896" spans="1:1" x14ac:dyDescent="0.2">
      <c r="A896" s="4"/>
    </row>
    <row r="897" spans="1:1" x14ac:dyDescent="0.2">
      <c r="A897" s="4"/>
    </row>
    <row r="898" spans="1:1" x14ac:dyDescent="0.2">
      <c r="A898" s="4"/>
    </row>
    <row r="899" spans="1:1" x14ac:dyDescent="0.2">
      <c r="A899" s="4"/>
    </row>
    <row r="900" spans="1:1" x14ac:dyDescent="0.2">
      <c r="A900" s="4"/>
    </row>
    <row r="901" spans="1:1" x14ac:dyDescent="0.2">
      <c r="A901" s="4"/>
    </row>
    <row r="902" spans="1:1" x14ac:dyDescent="0.2">
      <c r="A902" s="4"/>
    </row>
    <row r="903" spans="1:1" x14ac:dyDescent="0.2">
      <c r="A903" s="4"/>
    </row>
    <row r="904" spans="1:1" x14ac:dyDescent="0.2">
      <c r="A904" s="4"/>
    </row>
    <row r="905" spans="1:1" x14ac:dyDescent="0.2">
      <c r="A905" s="4"/>
    </row>
    <row r="906" spans="1:1" x14ac:dyDescent="0.2">
      <c r="A906" s="4"/>
    </row>
    <row r="907" spans="1:1" x14ac:dyDescent="0.2">
      <c r="A907" s="4"/>
    </row>
    <row r="908" spans="1:1" x14ac:dyDescent="0.2">
      <c r="A908" s="4"/>
    </row>
    <row r="909" spans="1:1" x14ac:dyDescent="0.2">
      <c r="A909" s="4"/>
    </row>
    <row r="910" spans="1:1" x14ac:dyDescent="0.2">
      <c r="A910" s="4"/>
    </row>
    <row r="911" spans="1:1" x14ac:dyDescent="0.2">
      <c r="A911" s="4"/>
    </row>
    <row r="912" spans="1:1" x14ac:dyDescent="0.2">
      <c r="A912" s="4"/>
    </row>
    <row r="913" spans="1:1" x14ac:dyDescent="0.2">
      <c r="A913" s="4"/>
    </row>
    <row r="914" spans="1:1" x14ac:dyDescent="0.2">
      <c r="A914" s="4"/>
    </row>
    <row r="915" spans="1:1" x14ac:dyDescent="0.2">
      <c r="A915" s="4"/>
    </row>
    <row r="916" spans="1:1" x14ac:dyDescent="0.2">
      <c r="A916" s="4"/>
    </row>
    <row r="917" spans="1:1" x14ac:dyDescent="0.2">
      <c r="A917" s="4"/>
    </row>
    <row r="918" spans="1:1" x14ac:dyDescent="0.2">
      <c r="A918" s="4"/>
    </row>
    <row r="919" spans="1:1" x14ac:dyDescent="0.2">
      <c r="A919" s="4"/>
    </row>
    <row r="920" spans="1:1" x14ac:dyDescent="0.2">
      <c r="A920" s="4"/>
    </row>
    <row r="921" spans="1:1" x14ac:dyDescent="0.2">
      <c r="A921" s="4"/>
    </row>
    <row r="922" spans="1:1" x14ac:dyDescent="0.2">
      <c r="A922" s="4"/>
    </row>
    <row r="923" spans="1:1" x14ac:dyDescent="0.2">
      <c r="A923" s="4"/>
    </row>
    <row r="924" spans="1:1" x14ac:dyDescent="0.2">
      <c r="A924" s="4"/>
    </row>
    <row r="925" spans="1:1" x14ac:dyDescent="0.2">
      <c r="A925" s="4"/>
    </row>
    <row r="926" spans="1:1" x14ac:dyDescent="0.2">
      <c r="A926" s="4"/>
    </row>
    <row r="927" spans="1:1" x14ac:dyDescent="0.2">
      <c r="A927" s="4"/>
    </row>
    <row r="928" spans="1:1" x14ac:dyDescent="0.2">
      <c r="A928" s="4"/>
    </row>
    <row r="929" spans="1:1" x14ac:dyDescent="0.2">
      <c r="A929" s="4"/>
    </row>
    <row r="930" spans="1:1" x14ac:dyDescent="0.2">
      <c r="A930" s="4"/>
    </row>
    <row r="931" spans="1:1" x14ac:dyDescent="0.2">
      <c r="A931" s="4"/>
    </row>
    <row r="932" spans="1:1" x14ac:dyDescent="0.2">
      <c r="A932" s="4"/>
    </row>
    <row r="933" spans="1:1" x14ac:dyDescent="0.2">
      <c r="A933" s="4"/>
    </row>
    <row r="934" spans="1:1" x14ac:dyDescent="0.2">
      <c r="A934" s="4"/>
    </row>
    <row r="935" spans="1:1" x14ac:dyDescent="0.2">
      <c r="A935" s="4"/>
    </row>
    <row r="936" spans="1:1" x14ac:dyDescent="0.2">
      <c r="A936" s="4"/>
    </row>
    <row r="937" spans="1:1" x14ac:dyDescent="0.2">
      <c r="A937" s="4"/>
    </row>
    <row r="938" spans="1:1" x14ac:dyDescent="0.2">
      <c r="A938" s="4"/>
    </row>
    <row r="939" spans="1:1" x14ac:dyDescent="0.2">
      <c r="A939" s="4"/>
    </row>
    <row r="940" spans="1:1" x14ac:dyDescent="0.2">
      <c r="A940" s="4"/>
    </row>
    <row r="941" spans="1:1" x14ac:dyDescent="0.2">
      <c r="A941" s="4"/>
    </row>
    <row r="942" spans="1:1" x14ac:dyDescent="0.2">
      <c r="A942" s="4"/>
    </row>
    <row r="943" spans="1:1" x14ac:dyDescent="0.2">
      <c r="A943" s="4"/>
    </row>
    <row r="944" spans="1:1" x14ac:dyDescent="0.2">
      <c r="A944" s="4"/>
    </row>
    <row r="945" spans="1:1" x14ac:dyDescent="0.2">
      <c r="A945" s="4"/>
    </row>
    <row r="946" spans="1:1" x14ac:dyDescent="0.2">
      <c r="A946" s="4"/>
    </row>
    <row r="947" spans="1:1" x14ac:dyDescent="0.2">
      <c r="A947" s="4"/>
    </row>
    <row r="948" spans="1:1" x14ac:dyDescent="0.2">
      <c r="A948" s="4"/>
    </row>
    <row r="949" spans="1:1" x14ac:dyDescent="0.2">
      <c r="A949" s="4"/>
    </row>
    <row r="950" spans="1:1" x14ac:dyDescent="0.2">
      <c r="A950" s="4"/>
    </row>
    <row r="951" spans="1:1" x14ac:dyDescent="0.2">
      <c r="A951" s="4"/>
    </row>
    <row r="952" spans="1:1" x14ac:dyDescent="0.2">
      <c r="A952" s="4"/>
    </row>
    <row r="953" spans="1:1" x14ac:dyDescent="0.2">
      <c r="A953" s="4"/>
    </row>
    <row r="954" spans="1:1" x14ac:dyDescent="0.2">
      <c r="A954" s="4"/>
    </row>
    <row r="955" spans="1:1" x14ac:dyDescent="0.2">
      <c r="A955" s="4"/>
    </row>
    <row r="956" spans="1:1" x14ac:dyDescent="0.2">
      <c r="A956" s="4"/>
    </row>
    <row r="957" spans="1:1" x14ac:dyDescent="0.2">
      <c r="A957" s="4"/>
    </row>
    <row r="958" spans="1:1" x14ac:dyDescent="0.2">
      <c r="A958" s="4"/>
    </row>
    <row r="959" spans="1:1" x14ac:dyDescent="0.2">
      <c r="A959" s="4"/>
    </row>
    <row r="960" spans="1:1" x14ac:dyDescent="0.2">
      <c r="A960" s="4"/>
    </row>
    <row r="961" spans="1:1" x14ac:dyDescent="0.2">
      <c r="A961" s="4"/>
    </row>
    <row r="962" spans="1:1" x14ac:dyDescent="0.2">
      <c r="A962" s="4"/>
    </row>
    <row r="963" spans="1:1" x14ac:dyDescent="0.2">
      <c r="A963" s="4"/>
    </row>
    <row r="964" spans="1:1" x14ac:dyDescent="0.2">
      <c r="A964" s="4"/>
    </row>
    <row r="965" spans="1:1" x14ac:dyDescent="0.2">
      <c r="A965" s="4"/>
    </row>
    <row r="966" spans="1:1" x14ac:dyDescent="0.2">
      <c r="A966" s="4"/>
    </row>
    <row r="967" spans="1:1" x14ac:dyDescent="0.2">
      <c r="A967" s="4"/>
    </row>
    <row r="968" spans="1:1" x14ac:dyDescent="0.2">
      <c r="A968" s="4"/>
    </row>
    <row r="969" spans="1:1" x14ac:dyDescent="0.2">
      <c r="A969" s="4"/>
    </row>
    <row r="970" spans="1:1" x14ac:dyDescent="0.2">
      <c r="A970" s="4"/>
    </row>
    <row r="971" spans="1:1" x14ac:dyDescent="0.2">
      <c r="A971" s="4"/>
    </row>
    <row r="972" spans="1:1" x14ac:dyDescent="0.2">
      <c r="A972" s="4"/>
    </row>
    <row r="973" spans="1:1" x14ac:dyDescent="0.2">
      <c r="A973" s="4"/>
    </row>
    <row r="974" spans="1:1" x14ac:dyDescent="0.2">
      <c r="A974" s="4"/>
    </row>
    <row r="975" spans="1:1" x14ac:dyDescent="0.2">
      <c r="A975" s="4"/>
    </row>
    <row r="976" spans="1:1" x14ac:dyDescent="0.2">
      <c r="A976" s="4"/>
    </row>
    <row r="977" spans="1:1" x14ac:dyDescent="0.2">
      <c r="A977" s="4"/>
    </row>
    <row r="978" spans="1:1" x14ac:dyDescent="0.2">
      <c r="A978" s="4"/>
    </row>
    <row r="979" spans="1:1" x14ac:dyDescent="0.2">
      <c r="A979" s="4"/>
    </row>
    <row r="980" spans="1:1" x14ac:dyDescent="0.2">
      <c r="A980" s="4"/>
    </row>
    <row r="981" spans="1:1" x14ac:dyDescent="0.2">
      <c r="A981" s="4"/>
    </row>
    <row r="982" spans="1:1" x14ac:dyDescent="0.2">
      <c r="A982" s="4"/>
    </row>
    <row r="983" spans="1:1" x14ac:dyDescent="0.2">
      <c r="A983" s="4"/>
    </row>
    <row r="984" spans="1:1" x14ac:dyDescent="0.2">
      <c r="A984" s="4"/>
    </row>
    <row r="985" spans="1:1" x14ac:dyDescent="0.2">
      <c r="A985" s="4"/>
    </row>
    <row r="986" spans="1:1" x14ac:dyDescent="0.2">
      <c r="A986" s="4"/>
    </row>
    <row r="987" spans="1:1" x14ac:dyDescent="0.2">
      <c r="A987" s="4"/>
    </row>
    <row r="988" spans="1:1" x14ac:dyDescent="0.2">
      <c r="A988" s="4"/>
    </row>
    <row r="989" spans="1:1" x14ac:dyDescent="0.2">
      <c r="A989" s="4"/>
    </row>
    <row r="990" spans="1:1" x14ac:dyDescent="0.2">
      <c r="A990" s="4"/>
    </row>
    <row r="991" spans="1:1" x14ac:dyDescent="0.2">
      <c r="A991" s="4"/>
    </row>
    <row r="992" spans="1:1" x14ac:dyDescent="0.2">
      <c r="A992" s="4"/>
    </row>
    <row r="993" spans="1:1" x14ac:dyDescent="0.2">
      <c r="A993" s="4"/>
    </row>
    <row r="994" spans="1:1" x14ac:dyDescent="0.2">
      <c r="A994" s="4"/>
    </row>
    <row r="995" spans="1:1" x14ac:dyDescent="0.2">
      <c r="A995" s="4"/>
    </row>
    <row r="996" spans="1:1" x14ac:dyDescent="0.2">
      <c r="A996" s="4"/>
    </row>
    <row r="997" spans="1:1" x14ac:dyDescent="0.2">
      <c r="A997" s="4"/>
    </row>
    <row r="998" spans="1:1" x14ac:dyDescent="0.2">
      <c r="A998" s="4"/>
    </row>
    <row r="999" spans="1:1" x14ac:dyDescent="0.2">
      <c r="A999" s="4"/>
    </row>
    <row r="1000" spans="1:1" x14ac:dyDescent="0.2">
      <c r="A1000" s="4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80"/>
  <sheetViews>
    <sheetView showGridLines="0" workbookViewId="0">
      <selection activeCell="A28" sqref="A28"/>
    </sheetView>
  </sheetViews>
  <sheetFormatPr defaultColWidth="12.5703125" defaultRowHeight="15.75" customHeight="1" x14ac:dyDescent="0.2"/>
  <cols>
    <col min="2" max="2" width="27.28515625" customWidth="1"/>
  </cols>
  <sheetData>
    <row r="1" spans="1:2" ht="30.75" customHeight="1" x14ac:dyDescent="0.25">
      <c r="A1" s="23" t="s">
        <v>1</v>
      </c>
      <c r="B1" s="22"/>
    </row>
    <row r="2" spans="1:2" ht="13.5" customHeight="1" x14ac:dyDescent="0.2">
      <c r="A2" s="5"/>
      <c r="B2" s="5"/>
    </row>
    <row r="3" spans="1:2" ht="46.5" customHeight="1" x14ac:dyDescent="0.2">
      <c r="A3" s="5" t="s">
        <v>0</v>
      </c>
      <c r="B3" s="20" t="s">
        <v>65</v>
      </c>
    </row>
    <row r="4" spans="1:2" ht="12.75" x14ac:dyDescent="0.2">
      <c r="A4" s="5" t="s">
        <v>15</v>
      </c>
      <c r="B4" s="5">
        <v>13284.860759399999</v>
      </c>
    </row>
    <row r="5" spans="1:2" ht="12.75" x14ac:dyDescent="0.2">
      <c r="A5" s="5" t="s">
        <v>27</v>
      </c>
      <c r="B5" s="5">
        <v>13263.2874357</v>
      </c>
    </row>
    <row r="6" spans="1:2" ht="12.75" x14ac:dyDescent="0.2">
      <c r="A6" s="5" t="s">
        <v>30</v>
      </c>
      <c r="B6" s="5">
        <v>13133.596733100001</v>
      </c>
    </row>
    <row r="7" spans="1:2" ht="12.75" x14ac:dyDescent="0.2">
      <c r="A7" s="5" t="s">
        <v>34</v>
      </c>
      <c r="B7" s="5">
        <v>13058.950844299996</v>
      </c>
    </row>
    <row r="8" spans="1:2" ht="12.75" x14ac:dyDescent="0.2">
      <c r="A8" s="5" t="s">
        <v>35</v>
      </c>
      <c r="B8" s="5">
        <v>12966.078679099999</v>
      </c>
    </row>
    <row r="9" spans="1:2" ht="12.75" x14ac:dyDescent="0.2">
      <c r="A9" s="5" t="s">
        <v>33</v>
      </c>
      <c r="B9" s="5">
        <v>12668.5889269</v>
      </c>
    </row>
    <row r="10" spans="1:2" ht="12.75" x14ac:dyDescent="0.2">
      <c r="A10" s="5" t="s">
        <v>31</v>
      </c>
      <c r="B10" s="5">
        <v>12596.115706899996</v>
      </c>
    </row>
    <row r="11" spans="1:2" ht="12.75" x14ac:dyDescent="0.2">
      <c r="A11" s="5" t="s">
        <v>62</v>
      </c>
      <c r="B11" s="5">
        <v>12585.683216699999</v>
      </c>
    </row>
    <row r="12" spans="1:2" ht="12.75" x14ac:dyDescent="0.2">
      <c r="A12" s="5" t="s">
        <v>44</v>
      </c>
      <c r="B12" s="5">
        <v>12581.662784499997</v>
      </c>
    </row>
    <row r="13" spans="1:2" ht="12.75" x14ac:dyDescent="0.2">
      <c r="A13" s="5" t="s">
        <v>63</v>
      </c>
      <c r="B13" s="5">
        <v>12544.930893100001</v>
      </c>
    </row>
    <row r="14" spans="1:2" ht="12.75" x14ac:dyDescent="0.2">
      <c r="A14" s="5" t="s">
        <v>26</v>
      </c>
      <c r="B14" s="5">
        <v>12505.778389299998</v>
      </c>
    </row>
    <row r="15" spans="1:2" ht="12.75" x14ac:dyDescent="0.2">
      <c r="A15" s="5" t="s">
        <v>47</v>
      </c>
      <c r="B15" s="5">
        <v>12449.631513099999</v>
      </c>
    </row>
    <row r="16" spans="1:2" ht="12.75" x14ac:dyDescent="0.2">
      <c r="A16" s="5" t="s">
        <v>48</v>
      </c>
      <c r="B16" s="5">
        <v>12385.526576099999</v>
      </c>
    </row>
    <row r="17" spans="1:2" ht="12.75" x14ac:dyDescent="0.2">
      <c r="A17" s="5" t="s">
        <v>29</v>
      </c>
      <c r="B17" s="5">
        <v>12352.694690300003</v>
      </c>
    </row>
    <row r="18" spans="1:2" ht="12.75" x14ac:dyDescent="0.2">
      <c r="A18" s="5" t="s">
        <v>64</v>
      </c>
      <c r="B18" s="5">
        <v>12184.867480999999</v>
      </c>
    </row>
    <row r="19" spans="1:2" ht="12.75" x14ac:dyDescent="0.2">
      <c r="A19" s="5" t="s">
        <v>41</v>
      </c>
      <c r="B19" s="5">
        <v>12161.4747843</v>
      </c>
    </row>
    <row r="20" spans="1:2" ht="12.75" x14ac:dyDescent="0.2">
      <c r="A20" s="5" t="s">
        <v>40</v>
      </c>
      <c r="B20" s="5">
        <v>12151.267472199999</v>
      </c>
    </row>
    <row r="21" spans="1:2" ht="12.75" x14ac:dyDescent="0.2">
      <c r="A21" s="5" t="s">
        <v>39</v>
      </c>
      <c r="B21" s="5">
        <v>12058.054255300001</v>
      </c>
    </row>
    <row r="22" spans="1:2" ht="12.75" x14ac:dyDescent="0.2">
      <c r="A22" s="5" t="s">
        <v>38</v>
      </c>
      <c r="B22" s="5">
        <v>11882.584873899996</v>
      </c>
    </row>
    <row r="23" spans="1:2" ht="12.75" x14ac:dyDescent="0.2">
      <c r="A23" s="5" t="s">
        <v>37</v>
      </c>
      <c r="B23" s="5">
        <v>11796.579074899997</v>
      </c>
    </row>
    <row r="24" spans="1:2" ht="12.75" x14ac:dyDescent="0.2">
      <c r="A24" s="5" t="s">
        <v>66</v>
      </c>
      <c r="B24" s="5">
        <v>250612.21509009998</v>
      </c>
    </row>
    <row r="28" spans="1:2" x14ac:dyDescent="0.25">
      <c r="A28" s="3" t="s">
        <v>67</v>
      </c>
    </row>
    <row r="30" spans="1:2" ht="38.25" x14ac:dyDescent="0.2">
      <c r="A30" s="5" t="s">
        <v>3</v>
      </c>
      <c r="B30" s="20" t="s">
        <v>65</v>
      </c>
    </row>
    <row r="31" spans="1:2" ht="12.75" x14ac:dyDescent="0.2">
      <c r="A31" s="5">
        <v>2000</v>
      </c>
      <c r="B31" s="5">
        <v>10090.381994500001</v>
      </c>
    </row>
    <row r="32" spans="1:2" ht="12.75" x14ac:dyDescent="0.2">
      <c r="A32" s="5">
        <v>2001</v>
      </c>
      <c r="B32" s="5">
        <v>10061.071938499997</v>
      </c>
    </row>
    <row r="33" spans="1:2" ht="12.75" x14ac:dyDescent="0.2">
      <c r="A33" s="5">
        <v>2002</v>
      </c>
      <c r="B33" s="5">
        <v>9498.114950799998</v>
      </c>
    </row>
    <row r="34" spans="1:2" ht="12.75" x14ac:dyDescent="0.2">
      <c r="A34" s="5">
        <v>2003</v>
      </c>
      <c r="B34" s="5">
        <v>10186.875737999999</v>
      </c>
    </row>
    <row r="35" spans="1:2" ht="12.75" x14ac:dyDescent="0.2">
      <c r="A35" s="5">
        <v>2004</v>
      </c>
      <c r="B35" s="5">
        <v>10901.926143199998</v>
      </c>
    </row>
    <row r="36" spans="1:2" ht="12.75" x14ac:dyDescent="0.2">
      <c r="A36" s="5">
        <v>2005</v>
      </c>
      <c r="B36" s="5">
        <v>9124.7585427999984</v>
      </c>
    </row>
    <row r="37" spans="1:2" ht="12.75" x14ac:dyDescent="0.2">
      <c r="A37" s="5">
        <v>2006</v>
      </c>
      <c r="B37" s="5">
        <v>9852.5811366999988</v>
      </c>
    </row>
    <row r="38" spans="1:2" ht="12.75" x14ac:dyDescent="0.2">
      <c r="A38" s="5">
        <v>2007</v>
      </c>
      <c r="B38" s="5">
        <v>10351.435882500002</v>
      </c>
    </row>
    <row r="39" spans="1:2" ht="12.75" x14ac:dyDescent="0.2">
      <c r="A39" s="5">
        <v>2008</v>
      </c>
      <c r="B39" s="5">
        <v>11062.7757846</v>
      </c>
    </row>
    <row r="40" spans="1:2" ht="12.75" x14ac:dyDescent="0.2">
      <c r="A40" s="5">
        <v>2009</v>
      </c>
      <c r="B40" s="5">
        <v>9397.9810486999995</v>
      </c>
    </row>
    <row r="41" spans="1:2" ht="12.75" x14ac:dyDescent="0.2">
      <c r="A41" s="5">
        <v>2010</v>
      </c>
      <c r="B41" s="5">
        <v>9825.1152426999997</v>
      </c>
    </row>
    <row r="42" spans="1:2" ht="12.75" x14ac:dyDescent="0.2">
      <c r="A42" s="5">
        <v>2011</v>
      </c>
      <c r="B42" s="5">
        <v>10499.058374699998</v>
      </c>
    </row>
    <row r="43" spans="1:2" ht="12.75" x14ac:dyDescent="0.2">
      <c r="A43" s="5">
        <v>2012</v>
      </c>
      <c r="B43" s="5">
        <v>10681.364855600001</v>
      </c>
    </row>
    <row r="44" spans="1:2" ht="12.75" x14ac:dyDescent="0.2">
      <c r="A44" s="5">
        <v>2013</v>
      </c>
      <c r="B44" s="5">
        <v>9658.7488183000005</v>
      </c>
    </row>
    <row r="45" spans="1:2" ht="12.75" x14ac:dyDescent="0.2">
      <c r="A45" s="5">
        <v>2014</v>
      </c>
      <c r="B45" s="5">
        <v>10153.322318600003</v>
      </c>
    </row>
    <row r="46" spans="1:2" ht="12.75" x14ac:dyDescent="0.2">
      <c r="A46" s="5">
        <v>2015</v>
      </c>
      <c r="B46" s="5">
        <v>9811.7773113000003</v>
      </c>
    </row>
    <row r="47" spans="1:2" ht="12.75" x14ac:dyDescent="0.2">
      <c r="A47" s="5">
        <v>2016</v>
      </c>
      <c r="B47" s="5">
        <v>9997.2771654000007</v>
      </c>
    </row>
    <row r="48" spans="1:2" ht="12.75" x14ac:dyDescent="0.2">
      <c r="A48" s="5">
        <v>2017</v>
      </c>
      <c r="B48" s="5">
        <v>10370.696665399997</v>
      </c>
    </row>
    <row r="49" spans="1:2" ht="12.75" x14ac:dyDescent="0.2">
      <c r="A49" s="5">
        <v>2018</v>
      </c>
      <c r="B49" s="5">
        <v>10443.218030199998</v>
      </c>
    </row>
    <row r="50" spans="1:2" ht="12.75" x14ac:dyDescent="0.2">
      <c r="A50" s="5">
        <v>2019</v>
      </c>
      <c r="B50" s="5">
        <v>9899.0997263999961</v>
      </c>
    </row>
    <row r="51" spans="1:2" ht="12.75" x14ac:dyDescent="0.2">
      <c r="A51" s="5">
        <v>2020</v>
      </c>
      <c r="B51" s="5">
        <v>9469.3279162999988</v>
      </c>
    </row>
    <row r="52" spans="1:2" ht="12.75" x14ac:dyDescent="0.2">
      <c r="A52" s="5">
        <v>2021</v>
      </c>
      <c r="B52" s="5">
        <v>9609.0259394999994</v>
      </c>
    </row>
    <row r="53" spans="1:2" ht="12.75" x14ac:dyDescent="0.2">
      <c r="A53" s="5">
        <v>2022</v>
      </c>
      <c r="B53" s="5">
        <v>10044.460188899999</v>
      </c>
    </row>
    <row r="54" spans="1:2" ht="12.75" x14ac:dyDescent="0.2">
      <c r="A54" s="5">
        <v>2023</v>
      </c>
      <c r="B54" s="5">
        <v>9627.2027866999997</v>
      </c>
    </row>
    <row r="55" spans="1:2" ht="12.75" x14ac:dyDescent="0.2">
      <c r="A55" s="5">
        <v>2024</v>
      </c>
      <c r="B55" s="5">
        <v>9994.6165897999981</v>
      </c>
    </row>
    <row r="56" spans="1:2" ht="12.75" x14ac:dyDescent="0.2">
      <c r="A56" s="5" t="s">
        <v>66</v>
      </c>
      <c r="B56" s="5">
        <v>250612.21509009998</v>
      </c>
    </row>
    <row r="60" spans="1:2" x14ac:dyDescent="0.25">
      <c r="A60" s="3" t="s">
        <v>68</v>
      </c>
    </row>
    <row r="62" spans="1:2" ht="25.5" x14ac:dyDescent="0.2">
      <c r="A62" s="5" t="s">
        <v>0</v>
      </c>
      <c r="B62" s="20" t="s">
        <v>69</v>
      </c>
    </row>
    <row r="63" spans="1:2" ht="12.75" x14ac:dyDescent="0.2">
      <c r="A63" s="5" t="s">
        <v>44</v>
      </c>
      <c r="B63" s="5">
        <v>295.16806734000005</v>
      </c>
    </row>
    <row r="64" spans="1:2" ht="12.75" x14ac:dyDescent="0.2">
      <c r="A64" s="5" t="s">
        <v>47</v>
      </c>
      <c r="B64" s="5">
        <v>284.19626263599997</v>
      </c>
    </row>
    <row r="65" spans="1:2" ht="12.75" x14ac:dyDescent="0.2">
      <c r="A65" s="5" t="s">
        <v>38</v>
      </c>
      <c r="B65" s="5">
        <v>281.70347753599998</v>
      </c>
    </row>
    <row r="66" spans="1:2" ht="12.75" x14ac:dyDescent="0.2">
      <c r="A66" s="5" t="s">
        <v>41</v>
      </c>
      <c r="B66" s="5">
        <v>280.99844273599996</v>
      </c>
    </row>
    <row r="67" spans="1:2" ht="12.75" x14ac:dyDescent="0.2">
      <c r="A67" s="5" t="s">
        <v>48</v>
      </c>
      <c r="B67" s="5">
        <v>280.95933000000002</v>
      </c>
    </row>
    <row r="68" spans="1:2" ht="12.75" x14ac:dyDescent="0.2">
      <c r="A68" s="5" t="s">
        <v>30</v>
      </c>
      <c r="B68" s="5">
        <v>280.30733343999998</v>
      </c>
    </row>
    <row r="69" spans="1:2" ht="12.75" x14ac:dyDescent="0.2">
      <c r="A69" s="5" t="s">
        <v>39</v>
      </c>
      <c r="B69" s="5">
        <v>278.89846942399993</v>
      </c>
    </row>
    <row r="70" spans="1:2" ht="12.75" x14ac:dyDescent="0.2">
      <c r="A70" s="5" t="s">
        <v>64</v>
      </c>
      <c r="B70" s="5">
        <v>277.30601983600008</v>
      </c>
    </row>
    <row r="71" spans="1:2" ht="12.75" x14ac:dyDescent="0.2">
      <c r="A71" s="5" t="s">
        <v>34</v>
      </c>
      <c r="B71" s="5">
        <v>276.07878737200002</v>
      </c>
    </row>
    <row r="72" spans="1:2" ht="12.75" x14ac:dyDescent="0.2">
      <c r="A72" s="5" t="s">
        <v>27</v>
      </c>
      <c r="B72" s="5">
        <v>275.95202471200002</v>
      </c>
    </row>
    <row r="73" spans="1:2" ht="12.75" x14ac:dyDescent="0.2">
      <c r="A73" s="5" t="s">
        <v>63</v>
      </c>
      <c r="B73" s="5">
        <v>274.23724694399993</v>
      </c>
    </row>
    <row r="74" spans="1:2" ht="12.75" x14ac:dyDescent="0.2">
      <c r="A74" s="5" t="s">
        <v>31</v>
      </c>
      <c r="B74" s="5">
        <v>274.04774351200007</v>
      </c>
    </row>
    <row r="75" spans="1:2" ht="12.75" x14ac:dyDescent="0.2">
      <c r="A75" s="5" t="s">
        <v>26</v>
      </c>
      <c r="B75" s="5">
        <v>272.72482142800004</v>
      </c>
    </row>
    <row r="76" spans="1:2" ht="12.75" x14ac:dyDescent="0.2">
      <c r="A76" s="5" t="s">
        <v>35</v>
      </c>
      <c r="B76" s="5">
        <v>272.71362518399997</v>
      </c>
    </row>
    <row r="77" spans="1:2" ht="12.75" x14ac:dyDescent="0.2">
      <c r="A77" s="5" t="s">
        <v>37</v>
      </c>
      <c r="B77" s="5">
        <v>272.24321628400003</v>
      </c>
    </row>
    <row r="78" spans="1:2" ht="12.75" x14ac:dyDescent="0.2">
      <c r="A78" s="5" t="s">
        <v>33</v>
      </c>
      <c r="B78" s="5">
        <v>270.42289581199998</v>
      </c>
    </row>
    <row r="79" spans="1:2" ht="12.75" x14ac:dyDescent="0.2">
      <c r="A79" s="5" t="s">
        <v>62</v>
      </c>
      <c r="B79" s="5">
        <v>270.18685693600003</v>
      </c>
    </row>
    <row r="80" spans="1:2" ht="12.75" x14ac:dyDescent="0.2">
      <c r="A80" s="5" t="s">
        <v>15</v>
      </c>
      <c r="B80" s="5">
        <v>269.13119947600001</v>
      </c>
    </row>
    <row r="81" spans="1:2" ht="12.75" x14ac:dyDescent="0.2">
      <c r="A81" s="5" t="s">
        <v>29</v>
      </c>
      <c r="B81" s="5">
        <v>267.30286161199996</v>
      </c>
    </row>
    <row r="82" spans="1:2" ht="12.75" x14ac:dyDescent="0.2">
      <c r="A82" s="5" t="s">
        <v>40</v>
      </c>
      <c r="B82" s="5">
        <v>265.51696140799993</v>
      </c>
    </row>
    <row r="83" spans="1:2" ht="12.75" x14ac:dyDescent="0.2">
      <c r="A83" s="5" t="s">
        <v>66</v>
      </c>
      <c r="B83" s="5">
        <v>276.00478218140012</v>
      </c>
    </row>
    <row r="86" spans="1:2" x14ac:dyDescent="0.25">
      <c r="A86" s="3" t="s">
        <v>70</v>
      </c>
    </row>
    <row r="88" spans="1:2" ht="25.5" x14ac:dyDescent="0.2">
      <c r="A88" s="5" t="s">
        <v>3</v>
      </c>
      <c r="B88" s="20" t="s">
        <v>71</v>
      </c>
    </row>
    <row r="89" spans="1:2" ht="12.75" x14ac:dyDescent="0.2">
      <c r="A89" s="5">
        <v>2000</v>
      </c>
      <c r="B89" s="5">
        <v>2.6587936827000003</v>
      </c>
    </row>
    <row r="90" spans="1:2" ht="12.75" x14ac:dyDescent="0.2">
      <c r="A90" s="5">
        <v>2001</v>
      </c>
      <c r="B90" s="5">
        <v>2.6146803369000002</v>
      </c>
    </row>
    <row r="91" spans="1:2" ht="12.75" x14ac:dyDescent="0.2">
      <c r="A91" s="5">
        <v>2002</v>
      </c>
      <c r="B91" s="5">
        <v>2.4591799715000002</v>
      </c>
    </row>
    <row r="92" spans="1:2" ht="12.75" x14ac:dyDescent="0.2">
      <c r="A92" s="5">
        <v>2003</v>
      </c>
      <c r="B92" s="5">
        <v>2.7009953297</v>
      </c>
    </row>
    <row r="93" spans="1:2" ht="12.75" x14ac:dyDescent="0.2">
      <c r="A93" s="5">
        <v>2004</v>
      </c>
      <c r="B93" s="5">
        <v>2.5091751637500002</v>
      </c>
    </row>
    <row r="94" spans="1:2" ht="12.75" x14ac:dyDescent="0.2">
      <c r="A94" s="5">
        <v>2005</v>
      </c>
      <c r="B94" s="5">
        <v>2.59639373055</v>
      </c>
    </row>
    <row r="95" spans="1:2" ht="12.75" x14ac:dyDescent="0.2">
      <c r="A95" s="5">
        <v>2006</v>
      </c>
      <c r="B95" s="5">
        <v>2.688077034</v>
      </c>
    </row>
    <row r="96" spans="1:2" ht="12.75" x14ac:dyDescent="0.2">
      <c r="A96" s="5">
        <v>2007</v>
      </c>
      <c r="B96" s="5">
        <v>2.5935851540500003</v>
      </c>
    </row>
    <row r="97" spans="1:2" ht="12.75" x14ac:dyDescent="0.2">
      <c r="A97" s="5">
        <v>2008</v>
      </c>
      <c r="B97" s="5">
        <v>2.6637288435000004</v>
      </c>
    </row>
    <row r="98" spans="1:2" ht="12.75" x14ac:dyDescent="0.2">
      <c r="A98" s="5">
        <v>2009</v>
      </c>
      <c r="B98" s="5">
        <v>2.5582257867499996</v>
      </c>
    </row>
    <row r="99" spans="1:2" ht="12.75" x14ac:dyDescent="0.2">
      <c r="A99" s="5">
        <v>2010</v>
      </c>
      <c r="B99" s="5">
        <v>2.3804350579500002</v>
      </c>
    </row>
    <row r="100" spans="1:2" ht="12.75" x14ac:dyDescent="0.2">
      <c r="A100" s="5">
        <v>2011</v>
      </c>
      <c r="B100" s="5">
        <v>2.5765127435500004</v>
      </c>
    </row>
    <row r="101" spans="1:2" ht="12.75" x14ac:dyDescent="0.2">
      <c r="A101" s="5">
        <v>2012</v>
      </c>
      <c r="B101" s="5">
        <v>2.6558175995000002</v>
      </c>
    </row>
    <row r="102" spans="1:2" ht="12.75" x14ac:dyDescent="0.2">
      <c r="A102" s="5">
        <v>2013</v>
      </c>
      <c r="B102" s="5">
        <v>2.4150329587500003</v>
      </c>
    </row>
    <row r="103" spans="1:2" ht="12.75" x14ac:dyDescent="0.2">
      <c r="A103" s="5">
        <v>2014</v>
      </c>
      <c r="B103" s="5">
        <v>2.6666471194999999</v>
      </c>
    </row>
    <row r="104" spans="1:2" ht="12.75" x14ac:dyDescent="0.2">
      <c r="A104" s="5">
        <v>2015</v>
      </c>
      <c r="B104" s="5">
        <v>2.9203482211999998</v>
      </c>
    </row>
    <row r="105" spans="1:2" ht="12.75" x14ac:dyDescent="0.2">
      <c r="A105" s="5">
        <v>2016</v>
      </c>
      <c r="B105" s="5">
        <v>2.6265234335500001</v>
      </c>
    </row>
    <row r="106" spans="1:2" ht="12.75" x14ac:dyDescent="0.2">
      <c r="A106" s="5">
        <v>2017</v>
      </c>
      <c r="B106" s="5">
        <v>2.5605773334499999</v>
      </c>
    </row>
    <row r="107" spans="1:2" ht="12.75" x14ac:dyDescent="0.2">
      <c r="A107" s="5">
        <v>2018</v>
      </c>
      <c r="B107" s="5">
        <v>2.53218834775</v>
      </c>
    </row>
    <row r="108" spans="1:2" ht="12.75" x14ac:dyDescent="0.2">
      <c r="A108" s="5">
        <v>2019</v>
      </c>
      <c r="B108" s="5">
        <v>2.6958109738000005</v>
      </c>
    </row>
    <row r="109" spans="1:2" ht="12.75" x14ac:dyDescent="0.2">
      <c r="A109" s="5">
        <v>2020</v>
      </c>
      <c r="B109" s="5">
        <v>2.2492489564499993</v>
      </c>
    </row>
    <row r="110" spans="1:2" ht="12.75" x14ac:dyDescent="0.2">
      <c r="A110" s="5">
        <v>2021</v>
      </c>
      <c r="B110" s="5">
        <v>2.4773848179</v>
      </c>
    </row>
    <row r="111" spans="1:2" ht="12.75" x14ac:dyDescent="0.2">
      <c r="A111" s="5">
        <v>2022</v>
      </c>
      <c r="B111" s="5">
        <v>2.5884930270999997</v>
      </c>
    </row>
    <row r="112" spans="1:2" ht="12.75" x14ac:dyDescent="0.2">
      <c r="A112" s="5">
        <v>2023</v>
      </c>
      <c r="B112" s="5">
        <v>2.4552783501</v>
      </c>
    </row>
    <row r="113" spans="1:2" ht="12.75" x14ac:dyDescent="0.2">
      <c r="A113" s="5">
        <v>2024</v>
      </c>
      <c r="B113" s="5">
        <v>2.4827933712499997</v>
      </c>
    </row>
    <row r="114" spans="1:2" ht="12.75" x14ac:dyDescent="0.2">
      <c r="A114" s="5" t="s">
        <v>66</v>
      </c>
      <c r="B114" s="5">
        <v>2.5730370938079998</v>
      </c>
    </row>
    <row r="117" spans="1:2" x14ac:dyDescent="0.25">
      <c r="A117" s="3" t="s">
        <v>72</v>
      </c>
    </row>
    <row r="119" spans="1:2" ht="25.5" x14ac:dyDescent="0.2">
      <c r="A119" s="5" t="s">
        <v>0</v>
      </c>
      <c r="B119" s="20" t="s">
        <v>71</v>
      </c>
    </row>
    <row r="120" spans="1:2" ht="12.75" x14ac:dyDescent="0.2">
      <c r="A120" s="5" t="s">
        <v>29</v>
      </c>
      <c r="B120" s="5">
        <v>2.8336407826399999</v>
      </c>
    </row>
    <row r="121" spans="1:2" ht="12.75" x14ac:dyDescent="0.2">
      <c r="A121" s="5" t="s">
        <v>39</v>
      </c>
      <c r="B121" s="5">
        <v>2.7989727696000011</v>
      </c>
    </row>
    <row r="122" spans="1:2" ht="12.75" x14ac:dyDescent="0.2">
      <c r="A122" s="5" t="s">
        <v>15</v>
      </c>
      <c r="B122" s="5">
        <v>2.6729411519199999</v>
      </c>
    </row>
    <row r="123" spans="1:2" ht="12.75" x14ac:dyDescent="0.2">
      <c r="A123" s="5" t="s">
        <v>37</v>
      </c>
      <c r="B123" s="5">
        <v>2.6466103053199999</v>
      </c>
    </row>
    <row r="124" spans="1:2" ht="12.75" x14ac:dyDescent="0.2">
      <c r="A124" s="5" t="s">
        <v>31</v>
      </c>
      <c r="B124" s="5">
        <v>2.6416592418799998</v>
      </c>
    </row>
    <row r="125" spans="1:2" ht="12.75" x14ac:dyDescent="0.2">
      <c r="A125" s="5" t="s">
        <v>41</v>
      </c>
      <c r="B125" s="5">
        <v>2.6101258341199998</v>
      </c>
    </row>
    <row r="126" spans="1:2" ht="12.75" x14ac:dyDescent="0.2">
      <c r="A126" s="5" t="s">
        <v>26</v>
      </c>
      <c r="B126" s="5">
        <v>2.5900704333200002</v>
      </c>
    </row>
    <row r="127" spans="1:2" ht="12.75" x14ac:dyDescent="0.2">
      <c r="A127" s="5" t="s">
        <v>33</v>
      </c>
      <c r="B127" s="5">
        <v>2.5868622488800002</v>
      </c>
    </row>
    <row r="128" spans="1:2" ht="12.75" x14ac:dyDescent="0.2">
      <c r="A128" s="5" t="s">
        <v>64</v>
      </c>
      <c r="B128" s="5">
        <v>2.5670709174400002</v>
      </c>
    </row>
    <row r="129" spans="1:2" ht="12.75" x14ac:dyDescent="0.2">
      <c r="A129" s="5" t="s">
        <v>30</v>
      </c>
      <c r="B129" s="5">
        <v>2.5649679830799998</v>
      </c>
    </row>
    <row r="130" spans="1:2" ht="12.75" x14ac:dyDescent="0.2">
      <c r="A130" s="5" t="s">
        <v>48</v>
      </c>
      <c r="B130" s="5">
        <v>2.5601780990399998</v>
      </c>
    </row>
    <row r="131" spans="1:2" ht="12.75" x14ac:dyDescent="0.2">
      <c r="A131" s="5" t="s">
        <v>63</v>
      </c>
      <c r="B131" s="5">
        <v>2.5481668098400005</v>
      </c>
    </row>
    <row r="132" spans="1:2" ht="12.75" x14ac:dyDescent="0.2">
      <c r="A132" s="5" t="s">
        <v>40</v>
      </c>
      <c r="B132" s="5">
        <v>2.5316131535199995</v>
      </c>
    </row>
    <row r="133" spans="1:2" ht="12.75" x14ac:dyDescent="0.2">
      <c r="A133" s="5" t="s">
        <v>27</v>
      </c>
      <c r="B133" s="5">
        <v>2.5045580429199998</v>
      </c>
    </row>
    <row r="134" spans="1:2" ht="12.75" x14ac:dyDescent="0.2">
      <c r="A134" s="5" t="s">
        <v>35</v>
      </c>
      <c r="B134" s="5">
        <v>2.5028064053199999</v>
      </c>
    </row>
    <row r="135" spans="1:2" ht="12.75" x14ac:dyDescent="0.2">
      <c r="A135" s="5" t="s">
        <v>38</v>
      </c>
      <c r="B135" s="5">
        <v>2.4871334881600005</v>
      </c>
    </row>
    <row r="136" spans="1:2" ht="12.75" x14ac:dyDescent="0.2">
      <c r="A136" s="5" t="s">
        <v>44</v>
      </c>
      <c r="B136" s="5">
        <v>2.4857973925600003</v>
      </c>
    </row>
    <row r="137" spans="1:2" ht="12.75" x14ac:dyDescent="0.2">
      <c r="A137" s="5" t="s">
        <v>47</v>
      </c>
      <c r="B137" s="5">
        <v>2.4766261227999995</v>
      </c>
    </row>
    <row r="138" spans="1:2" ht="12.75" x14ac:dyDescent="0.2">
      <c r="A138" s="5" t="s">
        <v>62</v>
      </c>
      <c r="B138" s="5">
        <v>2.4501824298399999</v>
      </c>
    </row>
    <row r="139" spans="1:2" ht="12.75" x14ac:dyDescent="0.2">
      <c r="A139" s="5" t="s">
        <v>34</v>
      </c>
      <c r="B139" s="5">
        <v>2.4007582639600002</v>
      </c>
    </row>
    <row r="140" spans="1:2" ht="12.75" x14ac:dyDescent="0.2">
      <c r="A140" s="5" t="s">
        <v>66</v>
      </c>
      <c r="B140" s="5">
        <v>2.5730370938079998</v>
      </c>
    </row>
    <row r="148" spans="1:4" x14ac:dyDescent="0.25">
      <c r="A148" s="3" t="s">
        <v>73</v>
      </c>
    </row>
    <row r="150" spans="1:4" ht="33" customHeight="1" x14ac:dyDescent="0.2">
      <c r="A150" s="20" t="s">
        <v>11</v>
      </c>
      <c r="B150" s="20" t="s">
        <v>74</v>
      </c>
    </row>
    <row r="151" spans="1:4" ht="12.75" x14ac:dyDescent="0.2">
      <c r="A151" s="5" t="s">
        <v>28</v>
      </c>
      <c r="B151" s="5">
        <v>18</v>
      </c>
    </row>
    <row r="152" spans="1:4" ht="12.75" x14ac:dyDescent="0.2">
      <c r="A152" s="5" t="s">
        <v>25</v>
      </c>
      <c r="B152" s="5">
        <v>122</v>
      </c>
    </row>
    <row r="153" spans="1:4" ht="12.75" x14ac:dyDescent="0.2">
      <c r="A153" s="5" t="s">
        <v>16</v>
      </c>
      <c r="B153" s="5">
        <v>360</v>
      </c>
    </row>
    <row r="154" spans="1:4" ht="12.75" x14ac:dyDescent="0.2">
      <c r="A154" s="5" t="s">
        <v>66</v>
      </c>
      <c r="B154" s="5">
        <v>500</v>
      </c>
    </row>
    <row r="157" spans="1:4" x14ac:dyDescent="0.25">
      <c r="A157" s="3" t="s">
        <v>75</v>
      </c>
    </row>
    <row r="159" spans="1:4" ht="51" x14ac:dyDescent="0.2">
      <c r="A159" s="5" t="s">
        <v>0</v>
      </c>
      <c r="B159" s="20" t="s">
        <v>76</v>
      </c>
      <c r="C159" s="20" t="s">
        <v>77</v>
      </c>
      <c r="D159" s="20" t="s">
        <v>78</v>
      </c>
    </row>
    <row r="160" spans="1:4" ht="12.75" x14ac:dyDescent="0.2">
      <c r="A160" s="5" t="s">
        <v>15</v>
      </c>
      <c r="B160" s="5">
        <v>51.437968601599998</v>
      </c>
      <c r="C160" s="5">
        <v>27.946761446800007</v>
      </c>
      <c r="D160" s="5">
        <v>24.994532226000004</v>
      </c>
    </row>
    <row r="161" spans="1:4" ht="12.75" x14ac:dyDescent="0.2">
      <c r="A161" s="5" t="s">
        <v>26</v>
      </c>
      <c r="B161" s="5">
        <v>52.801331400799988</v>
      </c>
      <c r="C161" s="5">
        <v>28.724403519999999</v>
      </c>
      <c r="D161" s="5">
        <v>25.140504153999998</v>
      </c>
    </row>
    <row r="162" spans="1:4" ht="12.75" x14ac:dyDescent="0.2">
      <c r="A162" s="5" t="s">
        <v>27</v>
      </c>
      <c r="B162" s="5">
        <v>49.755675616400005</v>
      </c>
      <c r="C162" s="5">
        <v>26.612297178400009</v>
      </c>
      <c r="D162" s="5">
        <v>24.858927833999992</v>
      </c>
    </row>
    <row r="163" spans="1:4" ht="12.75" x14ac:dyDescent="0.2">
      <c r="A163" s="5" t="s">
        <v>29</v>
      </c>
      <c r="B163" s="5">
        <v>50.3280071836</v>
      </c>
      <c r="C163" s="5">
        <v>29.465351468399998</v>
      </c>
      <c r="D163" s="5">
        <v>24.8100806492</v>
      </c>
    </row>
    <row r="164" spans="1:4" ht="12.75" x14ac:dyDescent="0.2">
      <c r="A164" s="5" t="s">
        <v>30</v>
      </c>
      <c r="B164" s="5">
        <v>51.705375191999998</v>
      </c>
      <c r="C164" s="5">
        <v>27.854793430000001</v>
      </c>
      <c r="D164" s="5">
        <v>25.517421587600001</v>
      </c>
    </row>
    <row r="165" spans="1:4" ht="12.75" x14ac:dyDescent="0.2">
      <c r="A165" s="5" t="s">
        <v>31</v>
      </c>
      <c r="B165" s="5">
        <v>48.696574550400008</v>
      </c>
      <c r="C165" s="5">
        <v>26.136218407599998</v>
      </c>
      <c r="D165" s="5">
        <v>25.299679983200004</v>
      </c>
    </row>
    <row r="166" spans="1:4" ht="12.75" x14ac:dyDescent="0.2">
      <c r="A166" s="5" t="s">
        <v>33</v>
      </c>
      <c r="B166" s="5">
        <v>47.398330882399996</v>
      </c>
      <c r="C166" s="5">
        <v>28.645994626000011</v>
      </c>
      <c r="D166" s="5">
        <v>24.043111956799997</v>
      </c>
    </row>
    <row r="167" spans="1:4" ht="12.75" x14ac:dyDescent="0.2">
      <c r="A167" s="5" t="s">
        <v>44</v>
      </c>
      <c r="B167" s="5">
        <v>49.792830028799997</v>
      </c>
      <c r="C167" s="5">
        <v>27.919001273599996</v>
      </c>
      <c r="D167" s="5">
        <v>24.450921103999999</v>
      </c>
    </row>
    <row r="168" spans="1:4" ht="12.75" x14ac:dyDescent="0.2">
      <c r="A168" s="5" t="s">
        <v>40</v>
      </c>
      <c r="B168" s="5">
        <v>49.504249436800002</v>
      </c>
      <c r="C168" s="5">
        <v>26.853026610000001</v>
      </c>
      <c r="D168" s="5">
        <v>23.245984015600001</v>
      </c>
    </row>
    <row r="169" spans="1:4" ht="12.75" x14ac:dyDescent="0.2">
      <c r="A169" s="5" t="s">
        <v>47</v>
      </c>
      <c r="B169" s="5">
        <v>49.649513587599984</v>
      </c>
      <c r="C169" s="5">
        <v>28.078848847999996</v>
      </c>
      <c r="D169" s="5">
        <v>24.887128667999995</v>
      </c>
    </row>
    <row r="170" spans="1:4" ht="12.75" x14ac:dyDescent="0.2">
      <c r="A170" s="5" t="s">
        <v>62</v>
      </c>
      <c r="B170" s="5">
        <v>49.519145346799995</v>
      </c>
      <c r="C170" s="5">
        <v>28.821843479599998</v>
      </c>
      <c r="D170" s="5">
        <v>24.980344627999997</v>
      </c>
    </row>
    <row r="171" spans="1:4" ht="12.75" x14ac:dyDescent="0.2">
      <c r="A171" s="5" t="s">
        <v>39</v>
      </c>
      <c r="B171" s="5">
        <v>49.668012005600005</v>
      </c>
      <c r="C171" s="5">
        <v>27.989065058000005</v>
      </c>
      <c r="D171" s="5">
        <v>24.3752037452</v>
      </c>
    </row>
    <row r="172" spans="1:4" ht="12.75" x14ac:dyDescent="0.2">
      <c r="A172" s="5" t="s">
        <v>48</v>
      </c>
      <c r="B172" s="5">
        <v>50.531580187200007</v>
      </c>
      <c r="C172" s="5">
        <v>27.703461441199991</v>
      </c>
      <c r="D172" s="5">
        <v>24.847695213600002</v>
      </c>
    </row>
    <row r="173" spans="1:4" ht="12.75" x14ac:dyDescent="0.2">
      <c r="A173" s="5" t="s">
        <v>35</v>
      </c>
      <c r="B173" s="5">
        <v>49.011447701200005</v>
      </c>
      <c r="C173" s="5">
        <v>27.714797646399997</v>
      </c>
      <c r="D173" s="5">
        <v>25.709258068799997</v>
      </c>
    </row>
    <row r="174" spans="1:4" ht="12.75" x14ac:dyDescent="0.2">
      <c r="A174" s="5" t="s">
        <v>63</v>
      </c>
      <c r="B174" s="5">
        <v>50.669737226400002</v>
      </c>
      <c r="C174" s="5">
        <v>28.687092505599999</v>
      </c>
      <c r="D174" s="5">
        <v>24.690756262799997</v>
      </c>
    </row>
    <row r="175" spans="1:4" ht="12.75" x14ac:dyDescent="0.2">
      <c r="A175" s="5" t="s">
        <v>64</v>
      </c>
      <c r="B175" s="5">
        <v>50.477440010000002</v>
      </c>
      <c r="C175" s="5">
        <v>24.7636150236</v>
      </c>
      <c r="D175" s="5">
        <v>24.83479143520001</v>
      </c>
    </row>
    <row r="176" spans="1:4" ht="12.75" x14ac:dyDescent="0.2">
      <c r="A176" s="5" t="s">
        <v>37</v>
      </c>
      <c r="B176" s="5">
        <v>49.949460729600005</v>
      </c>
      <c r="C176" s="5">
        <v>27.785027549599995</v>
      </c>
      <c r="D176" s="5">
        <v>25.099274624400003</v>
      </c>
    </row>
    <row r="177" spans="1:4" ht="12.75" x14ac:dyDescent="0.2">
      <c r="A177" s="5" t="s">
        <v>38</v>
      </c>
      <c r="B177" s="5">
        <v>51.840633845599989</v>
      </c>
      <c r="C177" s="5">
        <v>29.102000830800002</v>
      </c>
      <c r="D177" s="5">
        <v>24.435245548399998</v>
      </c>
    </row>
    <row r="178" spans="1:4" ht="12.75" x14ac:dyDescent="0.2">
      <c r="A178" s="5" t="s">
        <v>41</v>
      </c>
      <c r="B178" s="5">
        <v>50.424591619199994</v>
      </c>
      <c r="C178" s="5">
        <v>27.690948226799996</v>
      </c>
      <c r="D178" s="5">
        <v>25.503205148000006</v>
      </c>
    </row>
    <row r="179" spans="1:4" ht="12.75" x14ac:dyDescent="0.2">
      <c r="A179" s="5" t="s">
        <v>34</v>
      </c>
      <c r="B179" s="5">
        <v>50.4546829636</v>
      </c>
      <c r="C179" s="5">
        <v>27.362196941200001</v>
      </c>
      <c r="D179" s="5">
        <v>24.926238614800003</v>
      </c>
    </row>
    <row r="180" spans="1:4" ht="12.75" x14ac:dyDescent="0.2">
      <c r="A180" s="5" t="s">
        <v>66</v>
      </c>
      <c r="B180" s="5">
        <v>50.180829405780045</v>
      </c>
      <c r="C180" s="5">
        <v>27.79283727558002</v>
      </c>
      <c r="D180" s="5">
        <v>24.83251527338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058"/>
  <sheetViews>
    <sheetView topLeftCell="A5" workbookViewId="0">
      <selection activeCell="C134" sqref="C134"/>
    </sheetView>
  </sheetViews>
  <sheetFormatPr defaultColWidth="12.5703125" defaultRowHeight="15.75" customHeight="1" x14ac:dyDescent="0.2"/>
  <cols>
    <col min="2" max="2" width="16" customWidth="1"/>
    <col min="3" max="3" width="15.5703125" customWidth="1"/>
  </cols>
  <sheetData>
    <row r="1" spans="1:4" ht="25.5" customHeight="1" x14ac:dyDescent="0.25">
      <c r="A1" s="23" t="s">
        <v>32</v>
      </c>
      <c r="B1" s="22"/>
      <c r="C1" s="22"/>
      <c r="D1" s="22"/>
    </row>
    <row r="2" spans="1:4" ht="12.75" x14ac:dyDescent="0.2">
      <c r="C2" s="6"/>
    </row>
    <row r="3" spans="1:4" ht="12.75" x14ac:dyDescent="0.2">
      <c r="A3" s="7" t="s">
        <v>0</v>
      </c>
      <c r="B3" s="7" t="s">
        <v>14</v>
      </c>
      <c r="C3" s="6"/>
    </row>
    <row r="4" spans="1:4" ht="12.75" x14ac:dyDescent="0.2">
      <c r="A4" s="5" t="s">
        <v>15</v>
      </c>
      <c r="B4" s="8">
        <v>13284.860759399999</v>
      </c>
      <c r="C4" s="6"/>
    </row>
    <row r="5" spans="1:4" ht="12.75" x14ac:dyDescent="0.2">
      <c r="A5" s="5" t="s">
        <v>27</v>
      </c>
      <c r="B5" s="8">
        <v>13263.2874357</v>
      </c>
      <c r="C5" s="6"/>
    </row>
    <row r="6" spans="1:4" ht="12.75" x14ac:dyDescent="0.2">
      <c r="A6" s="5" t="s">
        <v>30</v>
      </c>
      <c r="B6" s="8">
        <v>13133.596733100001</v>
      </c>
      <c r="C6" s="6"/>
    </row>
    <row r="7" spans="1:4" ht="12.75" x14ac:dyDescent="0.2">
      <c r="A7" s="5" t="s">
        <v>34</v>
      </c>
      <c r="B7" s="8">
        <v>13058.950844299996</v>
      </c>
      <c r="C7" s="6"/>
    </row>
    <row r="8" spans="1:4" ht="12.75" x14ac:dyDescent="0.2">
      <c r="A8" s="5" t="s">
        <v>35</v>
      </c>
      <c r="B8" s="8">
        <v>12966.078679099999</v>
      </c>
      <c r="C8" s="6"/>
    </row>
    <row r="9" spans="1:4" ht="12.75" x14ac:dyDescent="0.2">
      <c r="C9" s="6"/>
    </row>
    <row r="10" spans="1:4" ht="12.75" x14ac:dyDescent="0.2">
      <c r="C10" s="6"/>
    </row>
    <row r="11" spans="1:4" ht="12.75" x14ac:dyDescent="0.2">
      <c r="C11" s="6"/>
    </row>
    <row r="12" spans="1:4" ht="12.75" x14ac:dyDescent="0.2">
      <c r="C12" s="6"/>
    </row>
    <row r="13" spans="1:4" ht="12.75" x14ac:dyDescent="0.2">
      <c r="C13" s="6"/>
    </row>
    <row r="14" spans="1:4" ht="12.75" x14ac:dyDescent="0.2">
      <c r="C14" s="6"/>
    </row>
    <row r="15" spans="1:4" ht="12.75" x14ac:dyDescent="0.2">
      <c r="C15" s="6"/>
    </row>
    <row r="16" spans="1:4" ht="12.75" x14ac:dyDescent="0.2">
      <c r="C16" s="6"/>
    </row>
    <row r="17" spans="1:4" ht="12.75" x14ac:dyDescent="0.2">
      <c r="C17" s="6"/>
    </row>
    <row r="18" spans="1:4" ht="12.75" x14ac:dyDescent="0.2">
      <c r="C18" s="6"/>
    </row>
    <row r="19" spans="1:4" ht="12.75" x14ac:dyDescent="0.2">
      <c r="C19" s="6"/>
    </row>
    <row r="20" spans="1:4" ht="12.75" x14ac:dyDescent="0.2">
      <c r="C20" s="6"/>
    </row>
    <row r="21" spans="1:4" ht="12.75" x14ac:dyDescent="0.2">
      <c r="C21" s="6"/>
    </row>
    <row r="22" spans="1:4" ht="12.75" x14ac:dyDescent="0.2">
      <c r="C22" s="6"/>
    </row>
    <row r="23" spans="1:4" ht="23.25" customHeight="1" x14ac:dyDescent="0.25">
      <c r="A23" s="23" t="s">
        <v>36</v>
      </c>
      <c r="B23" s="22"/>
      <c r="C23" s="22"/>
      <c r="D23" s="22"/>
    </row>
    <row r="24" spans="1:4" ht="12.75" x14ac:dyDescent="0.2">
      <c r="C24" s="6"/>
    </row>
    <row r="25" spans="1:4" ht="12.75" x14ac:dyDescent="0.2">
      <c r="A25" s="7" t="s">
        <v>0</v>
      </c>
      <c r="B25" s="7" t="s">
        <v>14</v>
      </c>
      <c r="C25" s="6"/>
    </row>
    <row r="26" spans="1:4" ht="12.75" x14ac:dyDescent="0.2">
      <c r="A26" s="5" t="s">
        <v>37</v>
      </c>
      <c r="B26" s="9">
        <v>11796.579074899997</v>
      </c>
      <c r="C26" s="6"/>
    </row>
    <row r="27" spans="1:4" ht="12.75" x14ac:dyDescent="0.2">
      <c r="A27" s="5" t="s">
        <v>38</v>
      </c>
      <c r="B27" s="9">
        <v>11882.584873899996</v>
      </c>
      <c r="C27" s="6"/>
    </row>
    <row r="28" spans="1:4" ht="15" x14ac:dyDescent="0.2">
      <c r="A28" s="5" t="s">
        <v>39</v>
      </c>
      <c r="B28" s="9">
        <v>12058.054255300001</v>
      </c>
      <c r="C28" s="10"/>
      <c r="D28" s="11"/>
    </row>
    <row r="29" spans="1:4" ht="12.75" x14ac:dyDescent="0.2">
      <c r="A29" s="5" t="s">
        <v>40</v>
      </c>
      <c r="B29" s="9">
        <v>12151.267472199999</v>
      </c>
      <c r="C29" s="6"/>
    </row>
    <row r="30" spans="1:4" ht="12.75" x14ac:dyDescent="0.2">
      <c r="A30" s="5" t="s">
        <v>41</v>
      </c>
      <c r="B30" s="9">
        <v>12161.4747843</v>
      </c>
      <c r="C30" s="6"/>
    </row>
    <row r="31" spans="1:4" ht="12.75" x14ac:dyDescent="0.2">
      <c r="C31" s="6"/>
    </row>
    <row r="32" spans="1:4" ht="12.75" x14ac:dyDescent="0.2">
      <c r="C32" s="6"/>
    </row>
    <row r="33" spans="1:4" ht="12.75" x14ac:dyDescent="0.2">
      <c r="C33" s="6"/>
    </row>
    <row r="34" spans="1:4" ht="12.75" x14ac:dyDescent="0.2">
      <c r="C34" s="6"/>
    </row>
    <row r="35" spans="1:4" ht="12.75" x14ac:dyDescent="0.2">
      <c r="C35" s="6"/>
    </row>
    <row r="36" spans="1:4" ht="12.75" x14ac:dyDescent="0.2">
      <c r="C36" s="6"/>
    </row>
    <row r="37" spans="1:4" ht="12.75" x14ac:dyDescent="0.2">
      <c r="C37" s="6"/>
    </row>
    <row r="38" spans="1:4" ht="12.75" x14ac:dyDescent="0.2">
      <c r="C38" s="6"/>
    </row>
    <row r="39" spans="1:4" ht="12.75" x14ac:dyDescent="0.2">
      <c r="C39" s="6"/>
    </row>
    <row r="40" spans="1:4" ht="12.75" x14ac:dyDescent="0.2">
      <c r="C40" s="6"/>
    </row>
    <row r="41" spans="1:4" ht="12.75" x14ac:dyDescent="0.2">
      <c r="C41" s="6"/>
    </row>
    <row r="42" spans="1:4" ht="12.75" x14ac:dyDescent="0.2">
      <c r="C42" s="6"/>
    </row>
    <row r="43" spans="1:4" ht="12.75" x14ac:dyDescent="0.2">
      <c r="C43" s="6"/>
    </row>
    <row r="44" spans="1:4" ht="12.75" x14ac:dyDescent="0.2">
      <c r="C44" s="6"/>
    </row>
    <row r="45" spans="1:4" ht="12.75" x14ac:dyDescent="0.2">
      <c r="C45" s="6"/>
    </row>
    <row r="46" spans="1:4" ht="30.75" customHeight="1" x14ac:dyDescent="0.25">
      <c r="A46" s="23" t="s">
        <v>42</v>
      </c>
      <c r="B46" s="22"/>
      <c r="C46" s="22"/>
      <c r="D46" s="22"/>
    </row>
    <row r="47" spans="1:4" ht="12.75" x14ac:dyDescent="0.2">
      <c r="C47" s="6"/>
    </row>
    <row r="48" spans="1:4" ht="30.75" customHeight="1" x14ac:dyDescent="0.2">
      <c r="A48" s="2" t="s">
        <v>3</v>
      </c>
      <c r="B48" s="1" t="s">
        <v>14</v>
      </c>
      <c r="C48" s="12" t="s">
        <v>43</v>
      </c>
    </row>
    <row r="49" spans="1:3" ht="12.75" x14ac:dyDescent="0.2">
      <c r="A49" s="5">
        <v>2000</v>
      </c>
      <c r="B49" s="8">
        <v>10090.381994500001</v>
      </c>
      <c r="C49" s="6"/>
    </row>
    <row r="50" spans="1:3" ht="12.75" x14ac:dyDescent="0.2">
      <c r="A50" s="5">
        <v>2001</v>
      </c>
      <c r="B50" s="8">
        <v>10061.071938499997</v>
      </c>
      <c r="C50" s="13">
        <f t="shared" ref="C50:C73" si="0">(B50-B49)/B49</f>
        <v>-2.9047518732174885E-3</v>
      </c>
    </row>
    <row r="51" spans="1:3" ht="12.75" x14ac:dyDescent="0.2">
      <c r="A51" s="5">
        <v>2002</v>
      </c>
      <c r="B51" s="8">
        <v>9498.114950799998</v>
      </c>
      <c r="C51" s="13">
        <f t="shared" si="0"/>
        <v>-5.595397698586882E-2</v>
      </c>
    </row>
    <row r="52" spans="1:3" ht="12.75" x14ac:dyDescent="0.2">
      <c r="A52" s="5">
        <v>2003</v>
      </c>
      <c r="B52" s="8">
        <v>10186.875737999999</v>
      </c>
      <c r="C52" s="13">
        <f t="shared" si="0"/>
        <v>7.2515524476989876E-2</v>
      </c>
    </row>
    <row r="53" spans="1:3" ht="12.75" x14ac:dyDescent="0.2">
      <c r="A53" s="5">
        <v>2004</v>
      </c>
      <c r="B53" s="8">
        <v>10901.926143199998</v>
      </c>
      <c r="C53" s="13">
        <f t="shared" si="0"/>
        <v>7.0193298081830377E-2</v>
      </c>
    </row>
    <row r="54" spans="1:3" ht="12.75" x14ac:dyDescent="0.2">
      <c r="A54" s="5">
        <v>2005</v>
      </c>
      <c r="B54" s="8">
        <v>9124.7585427999984</v>
      </c>
      <c r="C54" s="13">
        <f t="shared" si="0"/>
        <v>-0.16301409283610824</v>
      </c>
    </row>
    <row r="55" spans="1:3" ht="12.75" x14ac:dyDescent="0.2">
      <c r="A55" s="5">
        <v>2006</v>
      </c>
      <c r="B55" s="8">
        <v>9852.5811366999988</v>
      </c>
      <c r="C55" s="13">
        <f t="shared" si="0"/>
        <v>7.976349078018044E-2</v>
      </c>
    </row>
    <row r="56" spans="1:3" ht="12.75" x14ac:dyDescent="0.2">
      <c r="A56" s="5">
        <v>2007</v>
      </c>
      <c r="B56" s="8">
        <v>10351.435882500002</v>
      </c>
      <c r="C56" s="13">
        <f t="shared" si="0"/>
        <v>5.0631884059478882E-2</v>
      </c>
    </row>
    <row r="57" spans="1:3" ht="12.75" x14ac:dyDescent="0.2">
      <c r="A57" s="5">
        <v>2008</v>
      </c>
      <c r="B57" s="8">
        <v>11062.7757846</v>
      </c>
      <c r="C57" s="13">
        <f t="shared" si="0"/>
        <v>6.8718959396017743E-2</v>
      </c>
    </row>
    <row r="58" spans="1:3" ht="12.75" x14ac:dyDescent="0.2">
      <c r="A58" s="5">
        <v>2009</v>
      </c>
      <c r="B58" s="8">
        <v>9397.9810486999995</v>
      </c>
      <c r="C58" s="13">
        <f t="shared" si="0"/>
        <v>-0.15048616805716047</v>
      </c>
    </row>
    <row r="59" spans="1:3" ht="12.75" x14ac:dyDescent="0.2">
      <c r="A59" s="5">
        <v>2010</v>
      </c>
      <c r="B59" s="8">
        <v>9825.1152426999997</v>
      </c>
      <c r="C59" s="13">
        <f t="shared" si="0"/>
        <v>4.544956962422101E-2</v>
      </c>
    </row>
    <row r="60" spans="1:3" ht="12.75" x14ac:dyDescent="0.2">
      <c r="A60" s="5">
        <v>2011</v>
      </c>
      <c r="B60" s="8">
        <v>10499.058374699998</v>
      </c>
      <c r="C60" s="13">
        <f t="shared" si="0"/>
        <v>6.859391623937787E-2</v>
      </c>
    </row>
    <row r="61" spans="1:3" ht="12.75" x14ac:dyDescent="0.2">
      <c r="A61" s="5">
        <v>2012</v>
      </c>
      <c r="B61" s="8">
        <v>10681.364855600001</v>
      </c>
      <c r="C61" s="13">
        <f t="shared" si="0"/>
        <v>1.7364079176787294E-2</v>
      </c>
    </row>
    <row r="62" spans="1:3" ht="12.75" x14ac:dyDescent="0.2">
      <c r="A62" s="5">
        <v>2013</v>
      </c>
      <c r="B62" s="8">
        <v>9658.7488183000005</v>
      </c>
      <c r="C62" s="13">
        <f t="shared" si="0"/>
        <v>-9.5738330365511812E-2</v>
      </c>
    </row>
    <row r="63" spans="1:3" ht="12.75" x14ac:dyDescent="0.2">
      <c r="A63" s="5">
        <v>2014</v>
      </c>
      <c r="B63" s="8">
        <v>10153.322318600003</v>
      </c>
      <c r="C63" s="13">
        <f t="shared" si="0"/>
        <v>5.1204717050199751E-2</v>
      </c>
    </row>
    <row r="64" spans="1:3" ht="12.75" x14ac:dyDescent="0.2">
      <c r="A64" s="5">
        <v>2015</v>
      </c>
      <c r="B64" s="8">
        <v>9811.7773113000003</v>
      </c>
      <c r="C64" s="13">
        <f t="shared" si="0"/>
        <v>-3.3638743711929854E-2</v>
      </c>
    </row>
    <row r="65" spans="1:3" ht="12.75" x14ac:dyDescent="0.2">
      <c r="A65" s="5">
        <v>2016</v>
      </c>
      <c r="B65" s="8">
        <v>9997.2771654000007</v>
      </c>
      <c r="C65" s="13">
        <f t="shared" si="0"/>
        <v>1.8905836141059226E-2</v>
      </c>
    </row>
    <row r="66" spans="1:3" ht="12.75" x14ac:dyDescent="0.2">
      <c r="A66" s="5">
        <v>2017</v>
      </c>
      <c r="B66" s="8">
        <v>10370.696665399997</v>
      </c>
      <c r="C66" s="13">
        <f t="shared" si="0"/>
        <v>3.7352120364570834E-2</v>
      </c>
    </row>
    <row r="67" spans="1:3" ht="12.75" x14ac:dyDescent="0.2">
      <c r="A67" s="5">
        <v>2018</v>
      </c>
      <c r="B67" s="8">
        <v>10443.218030199998</v>
      </c>
      <c r="C67" s="13">
        <f t="shared" si="0"/>
        <v>6.9929115796005846E-3</v>
      </c>
    </row>
    <row r="68" spans="1:3" ht="12.75" x14ac:dyDescent="0.2">
      <c r="A68" s="5">
        <v>2019</v>
      </c>
      <c r="B68" s="8">
        <v>9899.0997263999961</v>
      </c>
      <c r="C68" s="13">
        <f t="shared" si="0"/>
        <v>-5.2102551361707168E-2</v>
      </c>
    </row>
    <row r="69" spans="1:3" ht="12.75" x14ac:dyDescent="0.2">
      <c r="A69" s="5">
        <v>2020</v>
      </c>
      <c r="B69" s="8">
        <v>9469.3279162999988</v>
      </c>
      <c r="C69" s="13">
        <f t="shared" si="0"/>
        <v>-4.3415241989514977E-2</v>
      </c>
    </row>
    <row r="70" spans="1:3" ht="12.75" x14ac:dyDescent="0.2">
      <c r="A70" s="5">
        <v>2021</v>
      </c>
      <c r="B70" s="8">
        <v>9609.0259394999994</v>
      </c>
      <c r="C70" s="13">
        <f t="shared" si="0"/>
        <v>1.4752686192177563E-2</v>
      </c>
    </row>
    <row r="71" spans="1:3" ht="12.75" x14ac:dyDescent="0.2">
      <c r="A71" s="5">
        <v>2022</v>
      </c>
      <c r="B71" s="8">
        <v>10044.460188899999</v>
      </c>
      <c r="C71" s="13">
        <f t="shared" si="0"/>
        <v>4.5315128936227737E-2</v>
      </c>
    </row>
    <row r="72" spans="1:3" ht="12.75" x14ac:dyDescent="0.2">
      <c r="A72" s="5">
        <v>2023</v>
      </c>
      <c r="B72" s="8">
        <v>9627.2027866999997</v>
      </c>
      <c r="C72" s="13">
        <f t="shared" si="0"/>
        <v>-4.1541047936165316E-2</v>
      </c>
    </row>
    <row r="73" spans="1:3" ht="12.75" x14ac:dyDescent="0.2">
      <c r="A73" s="5">
        <v>2024</v>
      </c>
      <c r="B73" s="8">
        <v>9994.6165897999981</v>
      </c>
      <c r="C73" s="13">
        <f t="shared" si="0"/>
        <v>3.81641283808399E-2</v>
      </c>
    </row>
    <row r="74" spans="1:3" ht="12.75" x14ac:dyDescent="0.2">
      <c r="C74" s="6"/>
    </row>
    <row r="75" spans="1:3" ht="12.75" x14ac:dyDescent="0.2">
      <c r="C75" s="6"/>
    </row>
    <row r="76" spans="1:3" ht="24.75" customHeight="1" x14ac:dyDescent="0.25">
      <c r="A76" s="23" t="s">
        <v>45</v>
      </c>
      <c r="B76" s="22"/>
      <c r="C76" s="22"/>
    </row>
    <row r="77" spans="1:3" ht="12.75" x14ac:dyDescent="0.2">
      <c r="C77" s="6"/>
    </row>
    <row r="78" spans="1:3" ht="30.75" customHeight="1" x14ac:dyDescent="0.2">
      <c r="A78" s="2" t="s">
        <v>0</v>
      </c>
      <c r="B78" s="14" t="s">
        <v>46</v>
      </c>
      <c r="C78" s="6"/>
    </row>
    <row r="79" spans="1:3" ht="12.75" x14ac:dyDescent="0.2">
      <c r="A79" s="5" t="s">
        <v>44</v>
      </c>
      <c r="B79" s="5">
        <v>295.16806734000005</v>
      </c>
      <c r="C79" s="6"/>
    </row>
    <row r="80" spans="1:3" ht="12.75" x14ac:dyDescent="0.2">
      <c r="A80" s="5" t="s">
        <v>47</v>
      </c>
      <c r="B80" s="5">
        <v>284.19626263599997</v>
      </c>
      <c r="C80" s="6"/>
    </row>
    <row r="81" spans="1:3" ht="12.75" x14ac:dyDescent="0.2">
      <c r="A81" s="5" t="s">
        <v>38</v>
      </c>
      <c r="B81" s="5">
        <v>281.70347753599998</v>
      </c>
      <c r="C81" s="6"/>
    </row>
    <row r="82" spans="1:3" ht="12.75" x14ac:dyDescent="0.2">
      <c r="A82" s="5" t="s">
        <v>41</v>
      </c>
      <c r="B82" s="5">
        <v>280.99844273599996</v>
      </c>
      <c r="C82" s="6"/>
    </row>
    <row r="83" spans="1:3" ht="12.75" x14ac:dyDescent="0.2">
      <c r="A83" s="5" t="s">
        <v>48</v>
      </c>
      <c r="B83" s="5">
        <v>280.95933000000002</v>
      </c>
      <c r="C83" s="6"/>
    </row>
    <row r="84" spans="1:3" ht="12.75" x14ac:dyDescent="0.2">
      <c r="C84" s="6"/>
    </row>
    <row r="85" spans="1:3" ht="12.75" x14ac:dyDescent="0.2">
      <c r="C85" s="6"/>
    </row>
    <row r="86" spans="1:3" ht="12.75" x14ac:dyDescent="0.2">
      <c r="C86" s="6"/>
    </row>
    <row r="87" spans="1:3" ht="12.75" x14ac:dyDescent="0.2">
      <c r="C87" s="6"/>
    </row>
    <row r="88" spans="1:3" ht="12.75" x14ac:dyDescent="0.2">
      <c r="C88" s="6"/>
    </row>
    <row r="89" spans="1:3" ht="12.75" x14ac:dyDescent="0.2">
      <c r="C89" s="6"/>
    </row>
    <row r="90" spans="1:3" ht="12.75" x14ac:dyDescent="0.2">
      <c r="C90" s="6"/>
    </row>
    <row r="91" spans="1:3" ht="12.75" x14ac:dyDescent="0.2">
      <c r="C91" s="6"/>
    </row>
    <row r="92" spans="1:3" ht="12.75" x14ac:dyDescent="0.2">
      <c r="C92" s="6"/>
    </row>
    <row r="93" spans="1:3" ht="12.75" x14ac:dyDescent="0.2">
      <c r="C93" s="6"/>
    </row>
    <row r="94" spans="1:3" ht="12.75" x14ac:dyDescent="0.2">
      <c r="C94" s="6"/>
    </row>
    <row r="95" spans="1:3" ht="12.75" x14ac:dyDescent="0.2">
      <c r="C95" s="6"/>
    </row>
    <row r="96" spans="1:3" ht="12.75" x14ac:dyDescent="0.2">
      <c r="C96" s="6"/>
    </row>
    <row r="97" spans="1:4" ht="12.75" x14ac:dyDescent="0.2">
      <c r="C97" s="6"/>
    </row>
    <row r="98" spans="1:4" ht="12.75" x14ac:dyDescent="0.2">
      <c r="C98" s="6"/>
    </row>
    <row r="99" spans="1:4" ht="12.75" x14ac:dyDescent="0.2">
      <c r="C99" s="6"/>
    </row>
    <row r="100" spans="1:4" ht="27.75" customHeight="1" x14ac:dyDescent="0.25">
      <c r="A100" s="23" t="s">
        <v>49</v>
      </c>
      <c r="B100" s="22"/>
      <c r="C100" s="22"/>
      <c r="D100" s="22"/>
    </row>
    <row r="101" spans="1:4" ht="12.75" x14ac:dyDescent="0.2">
      <c r="C101" s="6"/>
    </row>
    <row r="102" spans="1:4" ht="24" customHeight="1" x14ac:dyDescent="0.2">
      <c r="A102" s="7" t="s">
        <v>0</v>
      </c>
      <c r="B102" s="7" t="s">
        <v>50</v>
      </c>
      <c r="C102" s="6"/>
    </row>
    <row r="103" spans="1:4" ht="12.75" x14ac:dyDescent="0.2">
      <c r="A103" s="5" t="s">
        <v>29</v>
      </c>
      <c r="B103" s="9">
        <v>2.8336407826399999</v>
      </c>
      <c r="C103" s="6"/>
    </row>
    <row r="104" spans="1:4" ht="12.75" x14ac:dyDescent="0.2">
      <c r="A104" s="5" t="s">
        <v>39</v>
      </c>
      <c r="B104" s="9">
        <v>2.7989727696000011</v>
      </c>
      <c r="C104" s="6"/>
    </row>
    <row r="105" spans="1:4" ht="12.75" x14ac:dyDescent="0.2">
      <c r="A105" s="5" t="s">
        <v>15</v>
      </c>
      <c r="B105" s="9">
        <v>2.6729411519199999</v>
      </c>
      <c r="C105" s="6"/>
    </row>
    <row r="106" spans="1:4" ht="12.75" x14ac:dyDescent="0.2">
      <c r="A106" s="5" t="s">
        <v>37</v>
      </c>
      <c r="B106" s="9">
        <v>2.6466103053199999</v>
      </c>
      <c r="C106" s="6"/>
    </row>
    <row r="107" spans="1:4" ht="12.75" x14ac:dyDescent="0.2">
      <c r="A107" s="5" t="s">
        <v>31</v>
      </c>
      <c r="B107" s="9">
        <v>2.6416592418799998</v>
      </c>
      <c r="C107" s="6"/>
    </row>
    <row r="108" spans="1:4" ht="12.75" x14ac:dyDescent="0.2">
      <c r="B108" s="9"/>
      <c r="C108" s="6"/>
    </row>
    <row r="109" spans="1:4" ht="12.75" x14ac:dyDescent="0.2">
      <c r="B109" s="9"/>
      <c r="C109" s="6"/>
    </row>
    <row r="110" spans="1:4" ht="12.75" x14ac:dyDescent="0.2">
      <c r="B110" s="9"/>
      <c r="C110" s="6"/>
    </row>
    <row r="111" spans="1:4" ht="12.75" x14ac:dyDescent="0.2">
      <c r="B111" s="9"/>
      <c r="C111" s="6"/>
    </row>
    <row r="112" spans="1:4" ht="12.75" x14ac:dyDescent="0.2">
      <c r="B112" s="9"/>
      <c r="C112" s="6"/>
    </row>
    <row r="113" spans="1:3" ht="12.75" x14ac:dyDescent="0.2">
      <c r="C113" s="6"/>
    </row>
    <row r="114" spans="1:3" ht="12.75" x14ac:dyDescent="0.2">
      <c r="C114" s="6"/>
    </row>
    <row r="115" spans="1:3" ht="12.75" x14ac:dyDescent="0.2">
      <c r="C115" s="6"/>
    </row>
    <row r="116" spans="1:3" ht="12.75" x14ac:dyDescent="0.2">
      <c r="C116" s="6"/>
    </row>
    <row r="117" spans="1:3" ht="12.75" x14ac:dyDescent="0.2">
      <c r="C117" s="6"/>
    </row>
    <row r="118" spans="1:3" ht="12.75" x14ac:dyDescent="0.2">
      <c r="C118" s="6"/>
    </row>
    <row r="119" spans="1:3" ht="12.75" x14ac:dyDescent="0.2">
      <c r="C119" s="6"/>
    </row>
    <row r="120" spans="1:3" ht="12.75" x14ac:dyDescent="0.2">
      <c r="C120" s="6"/>
    </row>
    <row r="121" spans="1:3" ht="12.75" x14ac:dyDescent="0.2">
      <c r="C121" s="6"/>
    </row>
    <row r="122" spans="1:3" ht="12.75" x14ac:dyDescent="0.2">
      <c r="C122" s="6"/>
    </row>
    <row r="123" spans="1:3" ht="12.75" x14ac:dyDescent="0.2">
      <c r="C123" s="6"/>
    </row>
    <row r="124" spans="1:3" ht="12.75" x14ac:dyDescent="0.2">
      <c r="C124" s="6"/>
    </row>
    <row r="125" spans="1:3" x14ac:dyDescent="0.25">
      <c r="A125" s="3" t="s">
        <v>51</v>
      </c>
      <c r="C125" s="6"/>
    </row>
    <row r="126" spans="1:3" ht="12.75" x14ac:dyDescent="0.2">
      <c r="C126" s="6"/>
    </row>
    <row r="127" spans="1:3" ht="35.25" customHeight="1" x14ac:dyDescent="0.2">
      <c r="A127" s="15" t="s">
        <v>52</v>
      </c>
      <c r="B127" s="7" t="s">
        <v>53</v>
      </c>
      <c r="C127" s="6"/>
    </row>
    <row r="128" spans="1:3" ht="12.75" x14ac:dyDescent="0.2">
      <c r="A128" s="5" t="s">
        <v>28</v>
      </c>
      <c r="B128" s="5">
        <v>18</v>
      </c>
      <c r="C128" s="6"/>
    </row>
    <row r="129" spans="1:3" ht="12.75" x14ac:dyDescent="0.2">
      <c r="A129" s="5" t="s">
        <v>25</v>
      </c>
      <c r="B129" s="5">
        <v>122</v>
      </c>
      <c r="C129" s="6"/>
    </row>
    <row r="130" spans="1:3" ht="12.75" x14ac:dyDescent="0.2">
      <c r="A130" s="5" t="s">
        <v>16</v>
      </c>
      <c r="B130" s="5">
        <v>360</v>
      </c>
      <c r="C130" s="6"/>
    </row>
    <row r="131" spans="1:3" ht="12.75" x14ac:dyDescent="0.2">
      <c r="C131" s="6"/>
    </row>
    <row r="132" spans="1:3" ht="12.75" x14ac:dyDescent="0.2">
      <c r="C132" s="6"/>
    </row>
    <row r="133" spans="1:3" ht="12.75" x14ac:dyDescent="0.2">
      <c r="C133" s="6"/>
    </row>
    <row r="134" spans="1:3" ht="12.75" x14ac:dyDescent="0.2">
      <c r="C134" s="6"/>
    </row>
    <row r="135" spans="1:3" ht="12.75" x14ac:dyDescent="0.2">
      <c r="C135" s="6"/>
    </row>
    <row r="136" spans="1:3" ht="12.75" x14ac:dyDescent="0.2">
      <c r="C136" s="6"/>
    </row>
    <row r="137" spans="1:3" ht="12.75" x14ac:dyDescent="0.2">
      <c r="C137" s="6"/>
    </row>
    <row r="138" spans="1:3" ht="12.75" x14ac:dyDescent="0.2">
      <c r="C138" s="6"/>
    </row>
    <row r="139" spans="1:3" ht="12.75" x14ac:dyDescent="0.2">
      <c r="C139" s="6"/>
    </row>
    <row r="140" spans="1:3" ht="12.75" x14ac:dyDescent="0.2">
      <c r="C140" s="6"/>
    </row>
    <row r="141" spans="1:3" ht="12.75" x14ac:dyDescent="0.2">
      <c r="C141" s="6"/>
    </row>
    <row r="142" spans="1:3" ht="12.75" x14ac:dyDescent="0.2">
      <c r="C142" s="6"/>
    </row>
    <row r="143" spans="1:3" ht="12.75" x14ac:dyDescent="0.2">
      <c r="C143" s="6"/>
    </row>
    <row r="144" spans="1:3" ht="12.75" x14ac:dyDescent="0.2">
      <c r="C144" s="6"/>
    </row>
    <row r="145" spans="1:3" ht="12.75" x14ac:dyDescent="0.2">
      <c r="C145" s="6"/>
    </row>
    <row r="146" spans="1:3" ht="12.75" x14ac:dyDescent="0.2">
      <c r="C146" s="6"/>
    </row>
    <row r="147" spans="1:3" x14ac:dyDescent="0.25">
      <c r="A147" s="3" t="s">
        <v>54</v>
      </c>
      <c r="C147" s="6"/>
    </row>
    <row r="148" spans="1:3" ht="12.75" x14ac:dyDescent="0.2">
      <c r="C148" s="6"/>
    </row>
    <row r="149" spans="1:3" ht="30.75" customHeight="1" x14ac:dyDescent="0.2">
      <c r="A149" s="7" t="s">
        <v>55</v>
      </c>
      <c r="B149" s="14" t="s">
        <v>56</v>
      </c>
      <c r="C149" s="6"/>
    </row>
    <row r="150" spans="1:3" ht="12.75" x14ac:dyDescent="0.2">
      <c r="A150" s="5" t="s">
        <v>57</v>
      </c>
      <c r="B150" s="8">
        <v>50.180829405780045</v>
      </c>
      <c r="C150" s="6"/>
    </row>
    <row r="151" spans="1:3" ht="12.75" x14ac:dyDescent="0.2">
      <c r="A151" s="5" t="s">
        <v>58</v>
      </c>
      <c r="B151" s="8">
        <v>27.79</v>
      </c>
      <c r="C151" s="6"/>
    </row>
    <row r="152" spans="1:3" ht="12.75" x14ac:dyDescent="0.2">
      <c r="A152" s="5" t="s">
        <v>59</v>
      </c>
      <c r="B152" s="8">
        <v>24.83251527338</v>
      </c>
      <c r="C152" s="6"/>
    </row>
    <row r="153" spans="1:3" ht="12.75" x14ac:dyDescent="0.2">
      <c r="C153" s="6"/>
    </row>
    <row r="154" spans="1:3" ht="12.75" x14ac:dyDescent="0.2">
      <c r="C154" s="6"/>
    </row>
    <row r="155" spans="1:3" ht="12.75" x14ac:dyDescent="0.2">
      <c r="C155" s="6"/>
    </row>
    <row r="156" spans="1:3" ht="12.75" x14ac:dyDescent="0.2">
      <c r="C156" s="6"/>
    </row>
    <row r="157" spans="1:3" ht="12.75" x14ac:dyDescent="0.2">
      <c r="C157" s="6"/>
    </row>
    <row r="158" spans="1:3" ht="12.75" x14ac:dyDescent="0.2">
      <c r="C158" s="6"/>
    </row>
    <row r="159" spans="1:3" ht="12.75" x14ac:dyDescent="0.2">
      <c r="C159" s="6"/>
    </row>
    <row r="160" spans="1:3" ht="12.75" x14ac:dyDescent="0.2">
      <c r="C160" s="6"/>
    </row>
    <row r="161" spans="3:3" ht="12.75" x14ac:dyDescent="0.2">
      <c r="C161" s="6"/>
    </row>
    <row r="162" spans="3:3" ht="12.75" x14ac:dyDescent="0.2">
      <c r="C162" s="6"/>
    </row>
    <row r="163" spans="3:3" ht="12.75" x14ac:dyDescent="0.2">
      <c r="C163" s="6"/>
    </row>
    <row r="164" spans="3:3" ht="12.75" x14ac:dyDescent="0.2">
      <c r="C164" s="6"/>
    </row>
    <row r="165" spans="3:3" ht="12.75" x14ac:dyDescent="0.2">
      <c r="C165" s="6"/>
    </row>
    <row r="166" spans="3:3" ht="12.75" x14ac:dyDescent="0.2">
      <c r="C166" s="6"/>
    </row>
    <row r="167" spans="3:3" ht="12.75" x14ac:dyDescent="0.2">
      <c r="C167" s="6"/>
    </row>
    <row r="168" spans="3:3" ht="12.75" x14ac:dyDescent="0.2">
      <c r="C168" s="6"/>
    </row>
    <row r="169" spans="3:3" ht="12.75" x14ac:dyDescent="0.2">
      <c r="C169" s="6"/>
    </row>
    <row r="170" spans="3:3" ht="12.75" x14ac:dyDescent="0.2">
      <c r="C170" s="6"/>
    </row>
    <row r="171" spans="3:3" ht="12.75" x14ac:dyDescent="0.2">
      <c r="C171" s="6"/>
    </row>
    <row r="172" spans="3:3" ht="12.75" x14ac:dyDescent="0.2">
      <c r="C172" s="6"/>
    </row>
    <row r="173" spans="3:3" ht="12.75" x14ac:dyDescent="0.2">
      <c r="C173" s="6"/>
    </row>
    <row r="174" spans="3:3" ht="12.75" x14ac:dyDescent="0.2">
      <c r="C174" s="6"/>
    </row>
    <row r="175" spans="3:3" ht="12.75" x14ac:dyDescent="0.2">
      <c r="C175" s="6"/>
    </row>
    <row r="176" spans="3:3" ht="12.75" x14ac:dyDescent="0.2">
      <c r="C176" s="6"/>
    </row>
    <row r="177" spans="3:3" ht="12.75" x14ac:dyDescent="0.2">
      <c r="C177" s="6"/>
    </row>
    <row r="178" spans="3:3" ht="12.75" x14ac:dyDescent="0.2">
      <c r="C178" s="6"/>
    </row>
    <row r="179" spans="3:3" ht="12.75" x14ac:dyDescent="0.2">
      <c r="C179" s="6"/>
    </row>
    <row r="180" spans="3:3" ht="12.75" x14ac:dyDescent="0.2">
      <c r="C180" s="6"/>
    </row>
    <row r="181" spans="3:3" ht="12.75" x14ac:dyDescent="0.2">
      <c r="C181" s="6"/>
    </row>
    <row r="182" spans="3:3" ht="12.75" x14ac:dyDescent="0.2">
      <c r="C182" s="6"/>
    </row>
    <row r="183" spans="3:3" ht="12.75" x14ac:dyDescent="0.2">
      <c r="C183" s="6"/>
    </row>
    <row r="184" spans="3:3" ht="12.75" x14ac:dyDescent="0.2">
      <c r="C184" s="6"/>
    </row>
    <row r="185" spans="3:3" ht="12.75" x14ac:dyDescent="0.2">
      <c r="C185" s="6"/>
    </row>
    <row r="186" spans="3:3" ht="12.75" x14ac:dyDescent="0.2">
      <c r="C186" s="6"/>
    </row>
    <row r="187" spans="3:3" ht="12.75" x14ac:dyDescent="0.2">
      <c r="C187" s="6"/>
    </row>
    <row r="188" spans="3:3" ht="12.75" x14ac:dyDescent="0.2">
      <c r="C188" s="6"/>
    </row>
    <row r="189" spans="3:3" ht="12.75" x14ac:dyDescent="0.2">
      <c r="C189" s="6"/>
    </row>
    <row r="190" spans="3:3" ht="12.75" x14ac:dyDescent="0.2">
      <c r="C190" s="6"/>
    </row>
    <row r="191" spans="3:3" ht="12.75" x14ac:dyDescent="0.2">
      <c r="C191" s="6"/>
    </row>
    <row r="192" spans="3:3" ht="12.75" x14ac:dyDescent="0.2">
      <c r="C192" s="6"/>
    </row>
    <row r="193" spans="3:3" ht="12.75" x14ac:dyDescent="0.2">
      <c r="C193" s="6"/>
    </row>
    <row r="194" spans="3:3" ht="12.75" x14ac:dyDescent="0.2">
      <c r="C194" s="6"/>
    </row>
    <row r="195" spans="3:3" ht="12.75" x14ac:dyDescent="0.2">
      <c r="C195" s="6"/>
    </row>
    <row r="196" spans="3:3" ht="12.75" x14ac:dyDescent="0.2">
      <c r="C196" s="6"/>
    </row>
    <row r="197" spans="3:3" ht="12.75" x14ac:dyDescent="0.2">
      <c r="C197" s="6"/>
    </row>
    <row r="198" spans="3:3" ht="12.75" x14ac:dyDescent="0.2">
      <c r="C198" s="6"/>
    </row>
    <row r="199" spans="3:3" ht="12.75" x14ac:dyDescent="0.2">
      <c r="C199" s="6"/>
    </row>
    <row r="200" spans="3:3" ht="12.75" x14ac:dyDescent="0.2">
      <c r="C200" s="6"/>
    </row>
    <row r="201" spans="3:3" ht="12.75" x14ac:dyDescent="0.2">
      <c r="C201" s="6"/>
    </row>
    <row r="202" spans="3:3" ht="12.75" x14ac:dyDescent="0.2">
      <c r="C202" s="6"/>
    </row>
    <row r="203" spans="3:3" ht="12.75" x14ac:dyDescent="0.2">
      <c r="C203" s="6"/>
    </row>
    <row r="204" spans="3:3" ht="12.75" x14ac:dyDescent="0.2">
      <c r="C204" s="6"/>
    </row>
    <row r="205" spans="3:3" ht="12.75" x14ac:dyDescent="0.2">
      <c r="C205" s="6"/>
    </row>
    <row r="206" spans="3:3" ht="12.75" x14ac:dyDescent="0.2">
      <c r="C206" s="6"/>
    </row>
    <row r="207" spans="3:3" ht="12.75" x14ac:dyDescent="0.2">
      <c r="C207" s="6"/>
    </row>
    <row r="208" spans="3:3" ht="12.75" x14ac:dyDescent="0.2">
      <c r="C208" s="6"/>
    </row>
    <row r="209" spans="3:3" ht="12.75" x14ac:dyDescent="0.2">
      <c r="C209" s="6"/>
    </row>
    <row r="210" spans="3:3" ht="12.75" x14ac:dyDescent="0.2">
      <c r="C210" s="6"/>
    </row>
    <row r="211" spans="3:3" ht="12.75" x14ac:dyDescent="0.2">
      <c r="C211" s="6"/>
    </row>
    <row r="212" spans="3:3" ht="12.75" x14ac:dyDescent="0.2">
      <c r="C212" s="6"/>
    </row>
    <row r="213" spans="3:3" ht="12.75" x14ac:dyDescent="0.2">
      <c r="C213" s="6"/>
    </row>
    <row r="214" spans="3:3" ht="12.75" x14ac:dyDescent="0.2">
      <c r="C214" s="6"/>
    </row>
    <row r="215" spans="3:3" ht="12.75" x14ac:dyDescent="0.2">
      <c r="C215" s="6"/>
    </row>
    <row r="216" spans="3:3" ht="12.75" x14ac:dyDescent="0.2">
      <c r="C216" s="6"/>
    </row>
    <row r="217" spans="3:3" ht="12.75" x14ac:dyDescent="0.2">
      <c r="C217" s="6"/>
    </row>
    <row r="218" spans="3:3" ht="12.75" x14ac:dyDescent="0.2">
      <c r="C218" s="6"/>
    </row>
    <row r="219" spans="3:3" ht="12.75" x14ac:dyDescent="0.2">
      <c r="C219" s="6"/>
    </row>
    <row r="220" spans="3:3" ht="12.75" x14ac:dyDescent="0.2">
      <c r="C220" s="6"/>
    </row>
    <row r="221" spans="3:3" ht="12.75" x14ac:dyDescent="0.2">
      <c r="C221" s="6"/>
    </row>
    <row r="222" spans="3:3" ht="12.75" x14ac:dyDescent="0.2">
      <c r="C222" s="6"/>
    </row>
    <row r="223" spans="3:3" ht="12.75" x14ac:dyDescent="0.2">
      <c r="C223" s="6"/>
    </row>
    <row r="224" spans="3:3" ht="12.75" x14ac:dyDescent="0.2">
      <c r="C224" s="6"/>
    </row>
    <row r="225" spans="3:3" ht="12.75" x14ac:dyDescent="0.2">
      <c r="C225" s="6"/>
    </row>
    <row r="226" spans="3:3" ht="12.75" x14ac:dyDescent="0.2">
      <c r="C226" s="6"/>
    </row>
    <row r="227" spans="3:3" ht="12.75" x14ac:dyDescent="0.2">
      <c r="C227" s="6"/>
    </row>
    <row r="228" spans="3:3" ht="12.75" x14ac:dyDescent="0.2">
      <c r="C228" s="6"/>
    </row>
    <row r="229" spans="3:3" ht="12.75" x14ac:dyDescent="0.2">
      <c r="C229" s="6"/>
    </row>
    <row r="230" spans="3:3" ht="12.75" x14ac:dyDescent="0.2">
      <c r="C230" s="6"/>
    </row>
    <row r="231" spans="3:3" ht="12.75" x14ac:dyDescent="0.2">
      <c r="C231" s="6"/>
    </row>
    <row r="232" spans="3:3" ht="12.75" x14ac:dyDescent="0.2">
      <c r="C232" s="6"/>
    </row>
    <row r="233" spans="3:3" ht="12.75" x14ac:dyDescent="0.2">
      <c r="C233" s="6"/>
    </row>
    <row r="234" spans="3:3" ht="12.75" x14ac:dyDescent="0.2">
      <c r="C234" s="6"/>
    </row>
    <row r="235" spans="3:3" ht="12.75" x14ac:dyDescent="0.2">
      <c r="C235" s="6"/>
    </row>
    <row r="236" spans="3:3" ht="12.75" x14ac:dyDescent="0.2">
      <c r="C236" s="6"/>
    </row>
    <row r="237" spans="3:3" ht="12.75" x14ac:dyDescent="0.2">
      <c r="C237" s="6"/>
    </row>
    <row r="238" spans="3:3" ht="12.75" x14ac:dyDescent="0.2">
      <c r="C238" s="6"/>
    </row>
    <row r="239" spans="3:3" ht="12.75" x14ac:dyDescent="0.2">
      <c r="C239" s="6"/>
    </row>
    <row r="240" spans="3:3" ht="12.75" x14ac:dyDescent="0.2">
      <c r="C240" s="6"/>
    </row>
    <row r="241" spans="3:3" ht="12.75" x14ac:dyDescent="0.2">
      <c r="C241" s="6"/>
    </row>
    <row r="242" spans="3:3" ht="12.75" x14ac:dyDescent="0.2">
      <c r="C242" s="6"/>
    </row>
    <row r="243" spans="3:3" ht="12.75" x14ac:dyDescent="0.2">
      <c r="C243" s="6"/>
    </row>
    <row r="244" spans="3:3" ht="12.75" x14ac:dyDescent="0.2">
      <c r="C244" s="6"/>
    </row>
    <row r="245" spans="3:3" ht="12.75" x14ac:dyDescent="0.2">
      <c r="C245" s="6"/>
    </row>
    <row r="246" spans="3:3" ht="12.75" x14ac:dyDescent="0.2">
      <c r="C246" s="6"/>
    </row>
    <row r="247" spans="3:3" ht="12.75" x14ac:dyDescent="0.2">
      <c r="C247" s="6"/>
    </row>
    <row r="248" spans="3:3" ht="12.75" x14ac:dyDescent="0.2">
      <c r="C248" s="6"/>
    </row>
    <row r="249" spans="3:3" ht="12.75" x14ac:dyDescent="0.2">
      <c r="C249" s="6"/>
    </row>
    <row r="250" spans="3:3" ht="12.75" x14ac:dyDescent="0.2">
      <c r="C250" s="6"/>
    </row>
    <row r="251" spans="3:3" ht="12.75" x14ac:dyDescent="0.2">
      <c r="C251" s="6"/>
    </row>
    <row r="252" spans="3:3" ht="12.75" x14ac:dyDescent="0.2">
      <c r="C252" s="6"/>
    </row>
    <row r="253" spans="3:3" ht="12.75" x14ac:dyDescent="0.2">
      <c r="C253" s="6"/>
    </row>
    <row r="254" spans="3:3" ht="12.75" x14ac:dyDescent="0.2">
      <c r="C254" s="6"/>
    </row>
    <row r="255" spans="3:3" ht="12.75" x14ac:dyDescent="0.2">
      <c r="C255" s="6"/>
    </row>
    <row r="256" spans="3:3" ht="12.75" x14ac:dyDescent="0.2">
      <c r="C256" s="6"/>
    </row>
    <row r="257" spans="3:3" ht="12.75" x14ac:dyDescent="0.2">
      <c r="C257" s="6"/>
    </row>
    <row r="258" spans="3:3" ht="12.75" x14ac:dyDescent="0.2">
      <c r="C258" s="6"/>
    </row>
    <row r="259" spans="3:3" ht="12.75" x14ac:dyDescent="0.2">
      <c r="C259" s="6"/>
    </row>
    <row r="260" spans="3:3" ht="12.75" x14ac:dyDescent="0.2">
      <c r="C260" s="6"/>
    </row>
    <row r="261" spans="3:3" ht="12.75" x14ac:dyDescent="0.2">
      <c r="C261" s="6"/>
    </row>
    <row r="262" spans="3:3" ht="12.75" x14ac:dyDescent="0.2">
      <c r="C262" s="6"/>
    </row>
    <row r="263" spans="3:3" ht="12.75" x14ac:dyDescent="0.2">
      <c r="C263" s="6"/>
    </row>
    <row r="264" spans="3:3" ht="12.75" x14ac:dyDescent="0.2">
      <c r="C264" s="6"/>
    </row>
    <row r="265" spans="3:3" ht="12.75" x14ac:dyDescent="0.2">
      <c r="C265" s="6"/>
    </row>
    <row r="266" spans="3:3" ht="12.75" x14ac:dyDescent="0.2">
      <c r="C266" s="6"/>
    </row>
    <row r="267" spans="3:3" ht="12.75" x14ac:dyDescent="0.2">
      <c r="C267" s="6"/>
    </row>
    <row r="268" spans="3:3" ht="12.75" x14ac:dyDescent="0.2">
      <c r="C268" s="6"/>
    </row>
    <row r="269" spans="3:3" ht="12.75" x14ac:dyDescent="0.2">
      <c r="C269" s="6"/>
    </row>
    <row r="270" spans="3:3" ht="12.75" x14ac:dyDescent="0.2">
      <c r="C270" s="6"/>
    </row>
    <row r="271" spans="3:3" ht="12.75" x14ac:dyDescent="0.2">
      <c r="C271" s="6"/>
    </row>
    <row r="272" spans="3:3" ht="12.75" x14ac:dyDescent="0.2">
      <c r="C272" s="6"/>
    </row>
    <row r="273" spans="3:3" ht="12.75" x14ac:dyDescent="0.2">
      <c r="C273" s="6"/>
    </row>
    <row r="274" spans="3:3" ht="12.75" x14ac:dyDescent="0.2">
      <c r="C274" s="6"/>
    </row>
    <row r="275" spans="3:3" ht="12.75" x14ac:dyDescent="0.2">
      <c r="C275" s="6"/>
    </row>
    <row r="276" spans="3:3" ht="12.75" x14ac:dyDescent="0.2">
      <c r="C276" s="6"/>
    </row>
    <row r="277" spans="3:3" ht="12.75" x14ac:dyDescent="0.2">
      <c r="C277" s="6"/>
    </row>
    <row r="278" spans="3:3" ht="12.75" x14ac:dyDescent="0.2">
      <c r="C278" s="6"/>
    </row>
    <row r="279" spans="3:3" ht="12.75" x14ac:dyDescent="0.2">
      <c r="C279" s="6"/>
    </row>
    <row r="280" spans="3:3" ht="12.75" x14ac:dyDescent="0.2">
      <c r="C280" s="6"/>
    </row>
    <row r="281" spans="3:3" ht="12.75" x14ac:dyDescent="0.2">
      <c r="C281" s="6"/>
    </row>
    <row r="282" spans="3:3" ht="12.75" x14ac:dyDescent="0.2">
      <c r="C282" s="6"/>
    </row>
    <row r="283" spans="3:3" ht="12.75" x14ac:dyDescent="0.2">
      <c r="C283" s="6"/>
    </row>
    <row r="284" spans="3:3" ht="12.75" x14ac:dyDescent="0.2">
      <c r="C284" s="6"/>
    </row>
    <row r="285" spans="3:3" ht="12.75" x14ac:dyDescent="0.2">
      <c r="C285" s="6"/>
    </row>
    <row r="286" spans="3:3" ht="12.75" x14ac:dyDescent="0.2">
      <c r="C286" s="6"/>
    </row>
    <row r="287" spans="3:3" ht="12.75" x14ac:dyDescent="0.2">
      <c r="C287" s="6"/>
    </row>
    <row r="288" spans="3:3" ht="12.75" x14ac:dyDescent="0.2">
      <c r="C288" s="6"/>
    </row>
    <row r="289" spans="3:3" ht="12.75" x14ac:dyDescent="0.2">
      <c r="C289" s="6"/>
    </row>
    <row r="290" spans="3:3" ht="12.75" x14ac:dyDescent="0.2">
      <c r="C290" s="6"/>
    </row>
    <row r="291" spans="3:3" ht="12.75" x14ac:dyDescent="0.2">
      <c r="C291" s="6"/>
    </row>
    <row r="292" spans="3:3" ht="12.75" x14ac:dyDescent="0.2">
      <c r="C292" s="6"/>
    </row>
    <row r="293" spans="3:3" ht="12.75" x14ac:dyDescent="0.2">
      <c r="C293" s="6"/>
    </row>
    <row r="294" spans="3:3" ht="12.75" x14ac:dyDescent="0.2">
      <c r="C294" s="6"/>
    </row>
    <row r="295" spans="3:3" ht="12.75" x14ac:dyDescent="0.2">
      <c r="C295" s="6"/>
    </row>
    <row r="296" spans="3:3" ht="12.75" x14ac:dyDescent="0.2">
      <c r="C296" s="6"/>
    </row>
    <row r="297" spans="3:3" ht="12.75" x14ac:dyDescent="0.2">
      <c r="C297" s="6"/>
    </row>
    <row r="298" spans="3:3" ht="12.75" x14ac:dyDescent="0.2">
      <c r="C298" s="6"/>
    </row>
    <row r="299" spans="3:3" ht="12.75" x14ac:dyDescent="0.2">
      <c r="C299" s="6"/>
    </row>
    <row r="300" spans="3:3" ht="12.75" x14ac:dyDescent="0.2">
      <c r="C300" s="6"/>
    </row>
    <row r="301" spans="3:3" ht="12.75" x14ac:dyDescent="0.2">
      <c r="C301" s="6"/>
    </row>
    <row r="302" spans="3:3" ht="12.75" x14ac:dyDescent="0.2">
      <c r="C302" s="6"/>
    </row>
    <row r="303" spans="3:3" ht="12.75" x14ac:dyDescent="0.2">
      <c r="C303" s="6"/>
    </row>
    <row r="304" spans="3:3" ht="12.75" x14ac:dyDescent="0.2">
      <c r="C304" s="6"/>
    </row>
    <row r="305" spans="3:3" ht="12.75" x14ac:dyDescent="0.2">
      <c r="C305" s="6"/>
    </row>
    <row r="306" spans="3:3" ht="12.75" x14ac:dyDescent="0.2">
      <c r="C306" s="6"/>
    </row>
    <row r="307" spans="3:3" ht="12.75" x14ac:dyDescent="0.2">
      <c r="C307" s="6"/>
    </row>
    <row r="308" spans="3:3" ht="12.75" x14ac:dyDescent="0.2">
      <c r="C308" s="6"/>
    </row>
    <row r="309" spans="3:3" ht="12.75" x14ac:dyDescent="0.2">
      <c r="C309" s="6"/>
    </row>
    <row r="310" spans="3:3" ht="12.75" x14ac:dyDescent="0.2">
      <c r="C310" s="6"/>
    </row>
    <row r="311" spans="3:3" ht="12.75" x14ac:dyDescent="0.2">
      <c r="C311" s="6"/>
    </row>
    <row r="312" spans="3:3" ht="12.75" x14ac:dyDescent="0.2">
      <c r="C312" s="6"/>
    </row>
    <row r="313" spans="3:3" ht="12.75" x14ac:dyDescent="0.2">
      <c r="C313" s="6"/>
    </row>
    <row r="314" spans="3:3" ht="12.75" x14ac:dyDescent="0.2">
      <c r="C314" s="6"/>
    </row>
    <row r="315" spans="3:3" ht="12.75" x14ac:dyDescent="0.2">
      <c r="C315" s="6"/>
    </row>
    <row r="316" spans="3:3" ht="12.75" x14ac:dyDescent="0.2">
      <c r="C316" s="6"/>
    </row>
    <row r="317" spans="3:3" ht="12.75" x14ac:dyDescent="0.2">
      <c r="C317" s="6"/>
    </row>
    <row r="318" spans="3:3" ht="12.75" x14ac:dyDescent="0.2">
      <c r="C318" s="6"/>
    </row>
    <row r="319" spans="3:3" ht="12.75" x14ac:dyDescent="0.2">
      <c r="C319" s="6"/>
    </row>
    <row r="320" spans="3:3" ht="12.75" x14ac:dyDescent="0.2">
      <c r="C320" s="6"/>
    </row>
    <row r="321" spans="3:3" ht="12.75" x14ac:dyDescent="0.2">
      <c r="C321" s="6"/>
    </row>
    <row r="322" spans="3:3" ht="12.75" x14ac:dyDescent="0.2">
      <c r="C322" s="6"/>
    </row>
    <row r="323" spans="3:3" ht="12.75" x14ac:dyDescent="0.2">
      <c r="C323" s="6"/>
    </row>
    <row r="324" spans="3:3" ht="12.75" x14ac:dyDescent="0.2">
      <c r="C324" s="6"/>
    </row>
    <row r="325" spans="3:3" ht="12.75" x14ac:dyDescent="0.2">
      <c r="C325" s="6"/>
    </row>
    <row r="326" spans="3:3" ht="12.75" x14ac:dyDescent="0.2">
      <c r="C326" s="6"/>
    </row>
    <row r="327" spans="3:3" ht="12.75" x14ac:dyDescent="0.2">
      <c r="C327" s="6"/>
    </row>
    <row r="328" spans="3:3" ht="12.75" x14ac:dyDescent="0.2">
      <c r="C328" s="6"/>
    </row>
    <row r="329" spans="3:3" ht="12.75" x14ac:dyDescent="0.2">
      <c r="C329" s="6"/>
    </row>
    <row r="330" spans="3:3" ht="12.75" x14ac:dyDescent="0.2">
      <c r="C330" s="6"/>
    </row>
    <row r="331" spans="3:3" ht="12.75" x14ac:dyDescent="0.2">
      <c r="C331" s="6"/>
    </row>
    <row r="332" spans="3:3" ht="12.75" x14ac:dyDescent="0.2">
      <c r="C332" s="6"/>
    </row>
    <row r="333" spans="3:3" ht="12.75" x14ac:dyDescent="0.2">
      <c r="C333" s="6"/>
    </row>
    <row r="334" spans="3:3" ht="12.75" x14ac:dyDescent="0.2">
      <c r="C334" s="6"/>
    </row>
    <row r="335" spans="3:3" ht="12.75" x14ac:dyDescent="0.2">
      <c r="C335" s="6"/>
    </row>
    <row r="336" spans="3:3" ht="12.75" x14ac:dyDescent="0.2">
      <c r="C336" s="6"/>
    </row>
    <row r="337" spans="3:3" ht="12.75" x14ac:dyDescent="0.2">
      <c r="C337" s="6"/>
    </row>
    <row r="338" spans="3:3" ht="12.75" x14ac:dyDescent="0.2">
      <c r="C338" s="6"/>
    </row>
    <row r="339" spans="3:3" ht="12.75" x14ac:dyDescent="0.2">
      <c r="C339" s="6"/>
    </row>
    <row r="340" spans="3:3" ht="12.75" x14ac:dyDescent="0.2">
      <c r="C340" s="6"/>
    </row>
    <row r="341" spans="3:3" ht="12.75" x14ac:dyDescent="0.2">
      <c r="C341" s="6"/>
    </row>
    <row r="342" spans="3:3" ht="12.75" x14ac:dyDescent="0.2">
      <c r="C342" s="6"/>
    </row>
    <row r="343" spans="3:3" ht="12.75" x14ac:dyDescent="0.2">
      <c r="C343" s="6"/>
    </row>
    <row r="344" spans="3:3" ht="12.75" x14ac:dyDescent="0.2">
      <c r="C344" s="6"/>
    </row>
    <row r="345" spans="3:3" ht="12.75" x14ac:dyDescent="0.2">
      <c r="C345" s="6"/>
    </row>
    <row r="346" spans="3:3" ht="12.75" x14ac:dyDescent="0.2">
      <c r="C346" s="6"/>
    </row>
    <row r="347" spans="3:3" ht="12.75" x14ac:dyDescent="0.2">
      <c r="C347" s="6"/>
    </row>
    <row r="348" spans="3:3" ht="12.75" x14ac:dyDescent="0.2">
      <c r="C348" s="6"/>
    </row>
    <row r="349" spans="3:3" ht="12.75" x14ac:dyDescent="0.2">
      <c r="C349" s="6"/>
    </row>
    <row r="350" spans="3:3" ht="12.75" x14ac:dyDescent="0.2">
      <c r="C350" s="6"/>
    </row>
    <row r="351" spans="3:3" ht="12.75" x14ac:dyDescent="0.2">
      <c r="C351" s="6"/>
    </row>
    <row r="352" spans="3:3" ht="12.75" x14ac:dyDescent="0.2">
      <c r="C352" s="6"/>
    </row>
    <row r="353" spans="3:3" ht="12.75" x14ac:dyDescent="0.2">
      <c r="C353" s="6"/>
    </row>
    <row r="354" spans="3:3" ht="12.75" x14ac:dyDescent="0.2">
      <c r="C354" s="6"/>
    </row>
    <row r="355" spans="3:3" ht="12.75" x14ac:dyDescent="0.2">
      <c r="C355" s="6"/>
    </row>
    <row r="356" spans="3:3" ht="12.75" x14ac:dyDescent="0.2">
      <c r="C356" s="6"/>
    </row>
    <row r="357" spans="3:3" ht="12.75" x14ac:dyDescent="0.2">
      <c r="C357" s="6"/>
    </row>
    <row r="358" spans="3:3" ht="12.75" x14ac:dyDescent="0.2">
      <c r="C358" s="6"/>
    </row>
    <row r="359" spans="3:3" ht="12.75" x14ac:dyDescent="0.2">
      <c r="C359" s="6"/>
    </row>
    <row r="360" spans="3:3" ht="12.75" x14ac:dyDescent="0.2">
      <c r="C360" s="6"/>
    </row>
    <row r="361" spans="3:3" ht="12.75" x14ac:dyDescent="0.2">
      <c r="C361" s="6"/>
    </row>
    <row r="362" spans="3:3" ht="12.75" x14ac:dyDescent="0.2">
      <c r="C362" s="6"/>
    </row>
    <row r="363" spans="3:3" ht="12.75" x14ac:dyDescent="0.2">
      <c r="C363" s="6"/>
    </row>
    <row r="364" spans="3:3" ht="12.75" x14ac:dyDescent="0.2">
      <c r="C364" s="6"/>
    </row>
    <row r="365" spans="3:3" ht="12.75" x14ac:dyDescent="0.2">
      <c r="C365" s="6"/>
    </row>
    <row r="366" spans="3:3" ht="12.75" x14ac:dyDescent="0.2">
      <c r="C366" s="6"/>
    </row>
    <row r="367" spans="3:3" ht="12.75" x14ac:dyDescent="0.2">
      <c r="C367" s="6"/>
    </row>
    <row r="368" spans="3:3" ht="12.75" x14ac:dyDescent="0.2">
      <c r="C368" s="6"/>
    </row>
    <row r="369" spans="3:3" ht="12.75" x14ac:dyDescent="0.2">
      <c r="C369" s="6"/>
    </row>
    <row r="370" spans="3:3" ht="12.75" x14ac:dyDescent="0.2">
      <c r="C370" s="6"/>
    </row>
    <row r="371" spans="3:3" ht="12.75" x14ac:dyDescent="0.2">
      <c r="C371" s="6"/>
    </row>
    <row r="372" spans="3:3" ht="12.75" x14ac:dyDescent="0.2">
      <c r="C372" s="6"/>
    </row>
    <row r="373" spans="3:3" ht="12.75" x14ac:dyDescent="0.2">
      <c r="C373" s="6"/>
    </row>
    <row r="374" spans="3:3" ht="12.75" x14ac:dyDescent="0.2">
      <c r="C374" s="6"/>
    </row>
    <row r="375" spans="3:3" ht="12.75" x14ac:dyDescent="0.2">
      <c r="C375" s="6"/>
    </row>
    <row r="376" spans="3:3" ht="12.75" x14ac:dyDescent="0.2">
      <c r="C376" s="6"/>
    </row>
    <row r="377" spans="3:3" ht="12.75" x14ac:dyDescent="0.2">
      <c r="C377" s="6"/>
    </row>
    <row r="378" spans="3:3" ht="12.75" x14ac:dyDescent="0.2">
      <c r="C378" s="6"/>
    </row>
    <row r="379" spans="3:3" ht="12.75" x14ac:dyDescent="0.2">
      <c r="C379" s="6"/>
    </row>
    <row r="380" spans="3:3" ht="12.75" x14ac:dyDescent="0.2">
      <c r="C380" s="6"/>
    </row>
    <row r="381" spans="3:3" ht="12.75" x14ac:dyDescent="0.2">
      <c r="C381" s="6"/>
    </row>
    <row r="382" spans="3:3" ht="12.75" x14ac:dyDescent="0.2">
      <c r="C382" s="6"/>
    </row>
    <row r="383" spans="3:3" ht="12.75" x14ac:dyDescent="0.2">
      <c r="C383" s="6"/>
    </row>
    <row r="384" spans="3:3" ht="12.75" x14ac:dyDescent="0.2">
      <c r="C384" s="6"/>
    </row>
    <row r="385" spans="3:3" ht="12.75" x14ac:dyDescent="0.2">
      <c r="C385" s="6"/>
    </row>
    <row r="386" spans="3:3" ht="12.75" x14ac:dyDescent="0.2">
      <c r="C386" s="6"/>
    </row>
    <row r="387" spans="3:3" ht="12.75" x14ac:dyDescent="0.2">
      <c r="C387" s="6"/>
    </row>
    <row r="388" spans="3:3" ht="12.75" x14ac:dyDescent="0.2">
      <c r="C388" s="6"/>
    </row>
    <row r="389" spans="3:3" ht="12.75" x14ac:dyDescent="0.2">
      <c r="C389" s="6"/>
    </row>
    <row r="390" spans="3:3" ht="12.75" x14ac:dyDescent="0.2">
      <c r="C390" s="6"/>
    </row>
    <row r="391" spans="3:3" ht="12.75" x14ac:dyDescent="0.2">
      <c r="C391" s="6"/>
    </row>
    <row r="392" spans="3:3" ht="12.75" x14ac:dyDescent="0.2">
      <c r="C392" s="6"/>
    </row>
    <row r="393" spans="3:3" ht="12.75" x14ac:dyDescent="0.2">
      <c r="C393" s="6"/>
    </row>
    <row r="394" spans="3:3" ht="12.75" x14ac:dyDescent="0.2">
      <c r="C394" s="6"/>
    </row>
    <row r="395" spans="3:3" ht="12.75" x14ac:dyDescent="0.2">
      <c r="C395" s="6"/>
    </row>
    <row r="396" spans="3:3" ht="12.75" x14ac:dyDescent="0.2">
      <c r="C396" s="6"/>
    </row>
    <row r="397" spans="3:3" ht="12.75" x14ac:dyDescent="0.2">
      <c r="C397" s="6"/>
    </row>
    <row r="398" spans="3:3" ht="12.75" x14ac:dyDescent="0.2">
      <c r="C398" s="6"/>
    </row>
    <row r="399" spans="3:3" ht="12.75" x14ac:dyDescent="0.2">
      <c r="C399" s="6"/>
    </row>
    <row r="400" spans="3:3" ht="12.75" x14ac:dyDescent="0.2">
      <c r="C400" s="6"/>
    </row>
    <row r="401" spans="3:3" ht="12.75" x14ac:dyDescent="0.2">
      <c r="C401" s="6"/>
    </row>
    <row r="402" spans="3:3" ht="12.75" x14ac:dyDescent="0.2">
      <c r="C402" s="6"/>
    </row>
    <row r="403" spans="3:3" ht="12.75" x14ac:dyDescent="0.2">
      <c r="C403" s="6"/>
    </row>
    <row r="404" spans="3:3" ht="12.75" x14ac:dyDescent="0.2">
      <c r="C404" s="6"/>
    </row>
    <row r="405" spans="3:3" ht="12.75" x14ac:dyDescent="0.2">
      <c r="C405" s="6"/>
    </row>
    <row r="406" spans="3:3" ht="12.75" x14ac:dyDescent="0.2">
      <c r="C406" s="6"/>
    </row>
    <row r="407" spans="3:3" ht="12.75" x14ac:dyDescent="0.2">
      <c r="C407" s="6"/>
    </row>
    <row r="408" spans="3:3" ht="12.75" x14ac:dyDescent="0.2">
      <c r="C408" s="6"/>
    </row>
    <row r="409" spans="3:3" ht="12.75" x14ac:dyDescent="0.2">
      <c r="C409" s="6"/>
    </row>
    <row r="410" spans="3:3" ht="12.75" x14ac:dyDescent="0.2">
      <c r="C410" s="6"/>
    </row>
    <row r="411" spans="3:3" ht="12.75" x14ac:dyDescent="0.2">
      <c r="C411" s="6"/>
    </row>
    <row r="412" spans="3:3" ht="12.75" x14ac:dyDescent="0.2">
      <c r="C412" s="6"/>
    </row>
    <row r="413" spans="3:3" ht="12.75" x14ac:dyDescent="0.2">
      <c r="C413" s="6"/>
    </row>
    <row r="414" spans="3:3" ht="12.75" x14ac:dyDescent="0.2">
      <c r="C414" s="6"/>
    </row>
    <row r="415" spans="3:3" ht="12.75" x14ac:dyDescent="0.2">
      <c r="C415" s="6"/>
    </row>
    <row r="416" spans="3:3" ht="12.75" x14ac:dyDescent="0.2">
      <c r="C416" s="6"/>
    </row>
    <row r="417" spans="3:3" ht="12.75" x14ac:dyDescent="0.2">
      <c r="C417" s="6"/>
    </row>
    <row r="418" spans="3:3" ht="12.75" x14ac:dyDescent="0.2">
      <c r="C418" s="6"/>
    </row>
    <row r="419" spans="3:3" ht="12.75" x14ac:dyDescent="0.2">
      <c r="C419" s="6"/>
    </row>
    <row r="420" spans="3:3" ht="12.75" x14ac:dyDescent="0.2">
      <c r="C420" s="6"/>
    </row>
    <row r="421" spans="3:3" ht="12.75" x14ac:dyDescent="0.2">
      <c r="C421" s="6"/>
    </row>
    <row r="422" spans="3:3" ht="12.75" x14ac:dyDescent="0.2">
      <c r="C422" s="6"/>
    </row>
    <row r="423" spans="3:3" ht="12.75" x14ac:dyDescent="0.2">
      <c r="C423" s="6"/>
    </row>
    <row r="424" spans="3:3" ht="12.75" x14ac:dyDescent="0.2">
      <c r="C424" s="6"/>
    </row>
    <row r="425" spans="3:3" ht="12.75" x14ac:dyDescent="0.2">
      <c r="C425" s="6"/>
    </row>
    <row r="426" spans="3:3" ht="12.75" x14ac:dyDescent="0.2">
      <c r="C426" s="6"/>
    </row>
    <row r="427" spans="3:3" ht="12.75" x14ac:dyDescent="0.2">
      <c r="C427" s="6"/>
    </row>
    <row r="428" spans="3:3" ht="12.75" x14ac:dyDescent="0.2">
      <c r="C428" s="6"/>
    </row>
    <row r="429" spans="3:3" ht="12.75" x14ac:dyDescent="0.2">
      <c r="C429" s="6"/>
    </row>
    <row r="430" spans="3:3" ht="12.75" x14ac:dyDescent="0.2">
      <c r="C430" s="6"/>
    </row>
    <row r="431" spans="3:3" ht="12.75" x14ac:dyDescent="0.2">
      <c r="C431" s="6"/>
    </row>
    <row r="432" spans="3:3" ht="12.75" x14ac:dyDescent="0.2">
      <c r="C432" s="6"/>
    </row>
    <row r="433" spans="3:3" ht="12.75" x14ac:dyDescent="0.2">
      <c r="C433" s="6"/>
    </row>
    <row r="434" spans="3:3" ht="12.75" x14ac:dyDescent="0.2">
      <c r="C434" s="6"/>
    </row>
    <row r="435" spans="3:3" ht="12.75" x14ac:dyDescent="0.2">
      <c r="C435" s="6"/>
    </row>
    <row r="436" spans="3:3" ht="12.75" x14ac:dyDescent="0.2">
      <c r="C436" s="6"/>
    </row>
    <row r="437" spans="3:3" ht="12.75" x14ac:dyDescent="0.2">
      <c r="C437" s="6"/>
    </row>
    <row r="438" spans="3:3" ht="12.75" x14ac:dyDescent="0.2">
      <c r="C438" s="6"/>
    </row>
    <row r="439" spans="3:3" ht="12.75" x14ac:dyDescent="0.2">
      <c r="C439" s="6"/>
    </row>
    <row r="440" spans="3:3" ht="12.75" x14ac:dyDescent="0.2">
      <c r="C440" s="6"/>
    </row>
    <row r="441" spans="3:3" ht="12.75" x14ac:dyDescent="0.2">
      <c r="C441" s="6"/>
    </row>
    <row r="442" spans="3:3" ht="12.75" x14ac:dyDescent="0.2">
      <c r="C442" s="6"/>
    </row>
    <row r="443" spans="3:3" ht="12.75" x14ac:dyDescent="0.2">
      <c r="C443" s="6"/>
    </row>
    <row r="444" spans="3:3" ht="12.75" x14ac:dyDescent="0.2">
      <c r="C444" s="6"/>
    </row>
    <row r="445" spans="3:3" ht="12.75" x14ac:dyDescent="0.2">
      <c r="C445" s="6"/>
    </row>
    <row r="446" spans="3:3" ht="12.75" x14ac:dyDescent="0.2">
      <c r="C446" s="6"/>
    </row>
    <row r="447" spans="3:3" ht="12.75" x14ac:dyDescent="0.2">
      <c r="C447" s="6"/>
    </row>
    <row r="448" spans="3:3" ht="12.75" x14ac:dyDescent="0.2">
      <c r="C448" s="6"/>
    </row>
    <row r="449" spans="3:3" ht="12.75" x14ac:dyDescent="0.2">
      <c r="C449" s="6"/>
    </row>
    <row r="450" spans="3:3" ht="12.75" x14ac:dyDescent="0.2">
      <c r="C450" s="6"/>
    </row>
    <row r="451" spans="3:3" ht="12.75" x14ac:dyDescent="0.2">
      <c r="C451" s="6"/>
    </row>
    <row r="452" spans="3:3" ht="12.75" x14ac:dyDescent="0.2">
      <c r="C452" s="6"/>
    </row>
    <row r="453" spans="3:3" ht="12.75" x14ac:dyDescent="0.2">
      <c r="C453" s="6"/>
    </row>
    <row r="454" spans="3:3" ht="12.75" x14ac:dyDescent="0.2">
      <c r="C454" s="6"/>
    </row>
    <row r="455" spans="3:3" ht="12.75" x14ac:dyDescent="0.2">
      <c r="C455" s="6"/>
    </row>
    <row r="456" spans="3:3" ht="12.75" x14ac:dyDescent="0.2">
      <c r="C456" s="6"/>
    </row>
    <row r="457" spans="3:3" ht="12.75" x14ac:dyDescent="0.2">
      <c r="C457" s="6"/>
    </row>
    <row r="458" spans="3:3" ht="12.75" x14ac:dyDescent="0.2">
      <c r="C458" s="6"/>
    </row>
    <row r="459" spans="3:3" ht="12.75" x14ac:dyDescent="0.2">
      <c r="C459" s="6"/>
    </row>
    <row r="460" spans="3:3" ht="12.75" x14ac:dyDescent="0.2">
      <c r="C460" s="6"/>
    </row>
    <row r="461" spans="3:3" ht="12.75" x14ac:dyDescent="0.2">
      <c r="C461" s="6"/>
    </row>
    <row r="462" spans="3:3" ht="12.75" x14ac:dyDescent="0.2">
      <c r="C462" s="6"/>
    </row>
    <row r="463" spans="3:3" ht="12.75" x14ac:dyDescent="0.2">
      <c r="C463" s="6"/>
    </row>
    <row r="464" spans="3:3" ht="12.75" x14ac:dyDescent="0.2">
      <c r="C464" s="6"/>
    </row>
    <row r="465" spans="3:3" ht="12.75" x14ac:dyDescent="0.2">
      <c r="C465" s="6"/>
    </row>
    <row r="466" spans="3:3" ht="12.75" x14ac:dyDescent="0.2">
      <c r="C466" s="6"/>
    </row>
    <row r="467" spans="3:3" ht="12.75" x14ac:dyDescent="0.2">
      <c r="C467" s="6"/>
    </row>
    <row r="468" spans="3:3" ht="12.75" x14ac:dyDescent="0.2">
      <c r="C468" s="6"/>
    </row>
    <row r="469" spans="3:3" ht="12.75" x14ac:dyDescent="0.2">
      <c r="C469" s="6"/>
    </row>
    <row r="470" spans="3:3" ht="12.75" x14ac:dyDescent="0.2">
      <c r="C470" s="6"/>
    </row>
    <row r="471" spans="3:3" ht="12.75" x14ac:dyDescent="0.2">
      <c r="C471" s="6"/>
    </row>
    <row r="472" spans="3:3" ht="12.75" x14ac:dyDescent="0.2">
      <c r="C472" s="6"/>
    </row>
    <row r="473" spans="3:3" ht="12.75" x14ac:dyDescent="0.2">
      <c r="C473" s="6"/>
    </row>
    <row r="474" spans="3:3" ht="12.75" x14ac:dyDescent="0.2">
      <c r="C474" s="6"/>
    </row>
    <row r="475" spans="3:3" ht="12.75" x14ac:dyDescent="0.2">
      <c r="C475" s="6"/>
    </row>
    <row r="476" spans="3:3" ht="12.75" x14ac:dyDescent="0.2">
      <c r="C476" s="6"/>
    </row>
    <row r="477" spans="3:3" ht="12.75" x14ac:dyDescent="0.2">
      <c r="C477" s="6"/>
    </row>
    <row r="478" spans="3:3" ht="12.75" x14ac:dyDescent="0.2">
      <c r="C478" s="6"/>
    </row>
    <row r="479" spans="3:3" ht="12.75" x14ac:dyDescent="0.2">
      <c r="C479" s="6"/>
    </row>
    <row r="480" spans="3:3" ht="12.75" x14ac:dyDescent="0.2">
      <c r="C480" s="6"/>
    </row>
    <row r="481" spans="3:3" ht="12.75" x14ac:dyDescent="0.2">
      <c r="C481" s="6"/>
    </row>
    <row r="482" spans="3:3" ht="12.75" x14ac:dyDescent="0.2">
      <c r="C482" s="6"/>
    </row>
    <row r="483" spans="3:3" ht="12.75" x14ac:dyDescent="0.2">
      <c r="C483" s="6"/>
    </row>
    <row r="484" spans="3:3" ht="12.75" x14ac:dyDescent="0.2">
      <c r="C484" s="6"/>
    </row>
    <row r="485" spans="3:3" ht="12.75" x14ac:dyDescent="0.2">
      <c r="C485" s="6"/>
    </row>
    <row r="486" spans="3:3" ht="12.75" x14ac:dyDescent="0.2">
      <c r="C486" s="6"/>
    </row>
    <row r="487" spans="3:3" ht="12.75" x14ac:dyDescent="0.2">
      <c r="C487" s="6"/>
    </row>
    <row r="488" spans="3:3" ht="12.75" x14ac:dyDescent="0.2">
      <c r="C488" s="6"/>
    </row>
    <row r="489" spans="3:3" ht="12.75" x14ac:dyDescent="0.2">
      <c r="C489" s="6"/>
    </row>
    <row r="490" spans="3:3" ht="12.75" x14ac:dyDescent="0.2">
      <c r="C490" s="6"/>
    </row>
    <row r="491" spans="3:3" ht="12.75" x14ac:dyDescent="0.2">
      <c r="C491" s="6"/>
    </row>
    <row r="492" spans="3:3" ht="12.75" x14ac:dyDescent="0.2">
      <c r="C492" s="6"/>
    </row>
    <row r="493" spans="3:3" ht="12.75" x14ac:dyDescent="0.2">
      <c r="C493" s="6"/>
    </row>
    <row r="494" spans="3:3" ht="12.75" x14ac:dyDescent="0.2">
      <c r="C494" s="6"/>
    </row>
    <row r="495" spans="3:3" ht="12.75" x14ac:dyDescent="0.2">
      <c r="C495" s="6"/>
    </row>
    <row r="496" spans="3:3" ht="12.75" x14ac:dyDescent="0.2">
      <c r="C496" s="6"/>
    </row>
    <row r="497" spans="3:3" ht="12.75" x14ac:dyDescent="0.2">
      <c r="C497" s="6"/>
    </row>
    <row r="498" spans="3:3" ht="12.75" x14ac:dyDescent="0.2">
      <c r="C498" s="6"/>
    </row>
    <row r="499" spans="3:3" ht="12.75" x14ac:dyDescent="0.2">
      <c r="C499" s="6"/>
    </row>
    <row r="500" spans="3:3" ht="12.75" x14ac:dyDescent="0.2">
      <c r="C500" s="6"/>
    </row>
    <row r="501" spans="3:3" ht="12.75" x14ac:dyDescent="0.2">
      <c r="C501" s="6"/>
    </row>
    <row r="502" spans="3:3" ht="12.75" x14ac:dyDescent="0.2">
      <c r="C502" s="6"/>
    </row>
    <row r="503" spans="3:3" ht="12.75" x14ac:dyDescent="0.2">
      <c r="C503" s="6"/>
    </row>
    <row r="504" spans="3:3" ht="12.75" x14ac:dyDescent="0.2">
      <c r="C504" s="6"/>
    </row>
    <row r="505" spans="3:3" ht="12.75" x14ac:dyDescent="0.2">
      <c r="C505" s="6"/>
    </row>
    <row r="506" spans="3:3" ht="12.75" x14ac:dyDescent="0.2">
      <c r="C506" s="6"/>
    </row>
    <row r="507" spans="3:3" ht="12.75" x14ac:dyDescent="0.2">
      <c r="C507" s="6"/>
    </row>
    <row r="508" spans="3:3" ht="12.75" x14ac:dyDescent="0.2">
      <c r="C508" s="6"/>
    </row>
    <row r="509" spans="3:3" ht="12.75" x14ac:dyDescent="0.2">
      <c r="C509" s="6"/>
    </row>
    <row r="510" spans="3:3" ht="12.75" x14ac:dyDescent="0.2">
      <c r="C510" s="6"/>
    </row>
    <row r="511" spans="3:3" ht="12.75" x14ac:dyDescent="0.2">
      <c r="C511" s="6"/>
    </row>
    <row r="512" spans="3:3" ht="12.75" x14ac:dyDescent="0.2">
      <c r="C512" s="6"/>
    </row>
    <row r="513" spans="3:3" ht="12.75" x14ac:dyDescent="0.2">
      <c r="C513" s="6"/>
    </row>
    <row r="514" spans="3:3" ht="12.75" x14ac:dyDescent="0.2">
      <c r="C514" s="6"/>
    </row>
    <row r="515" spans="3:3" ht="12.75" x14ac:dyDescent="0.2">
      <c r="C515" s="6"/>
    </row>
    <row r="516" spans="3:3" ht="12.75" x14ac:dyDescent="0.2">
      <c r="C516" s="6"/>
    </row>
    <row r="517" spans="3:3" ht="12.75" x14ac:dyDescent="0.2">
      <c r="C517" s="6"/>
    </row>
    <row r="518" spans="3:3" ht="12.75" x14ac:dyDescent="0.2">
      <c r="C518" s="6"/>
    </row>
    <row r="519" spans="3:3" ht="12.75" x14ac:dyDescent="0.2">
      <c r="C519" s="6"/>
    </row>
    <row r="520" spans="3:3" ht="12.75" x14ac:dyDescent="0.2">
      <c r="C520" s="6"/>
    </row>
    <row r="521" spans="3:3" ht="12.75" x14ac:dyDescent="0.2">
      <c r="C521" s="6"/>
    </row>
    <row r="522" spans="3:3" ht="12.75" x14ac:dyDescent="0.2">
      <c r="C522" s="6"/>
    </row>
    <row r="523" spans="3:3" ht="12.75" x14ac:dyDescent="0.2">
      <c r="C523" s="6"/>
    </row>
    <row r="524" spans="3:3" ht="12.75" x14ac:dyDescent="0.2">
      <c r="C524" s="6"/>
    </row>
    <row r="525" spans="3:3" ht="12.75" x14ac:dyDescent="0.2">
      <c r="C525" s="6"/>
    </row>
    <row r="526" spans="3:3" ht="12.75" x14ac:dyDescent="0.2">
      <c r="C526" s="6"/>
    </row>
    <row r="527" spans="3:3" ht="12.75" x14ac:dyDescent="0.2">
      <c r="C527" s="6"/>
    </row>
    <row r="528" spans="3:3" ht="12.75" x14ac:dyDescent="0.2">
      <c r="C528" s="6"/>
    </row>
    <row r="529" spans="3:3" ht="12.75" x14ac:dyDescent="0.2">
      <c r="C529" s="6"/>
    </row>
    <row r="530" spans="3:3" ht="12.75" x14ac:dyDescent="0.2">
      <c r="C530" s="6"/>
    </row>
    <row r="531" spans="3:3" ht="12.75" x14ac:dyDescent="0.2">
      <c r="C531" s="6"/>
    </row>
    <row r="532" spans="3:3" ht="12.75" x14ac:dyDescent="0.2">
      <c r="C532" s="6"/>
    </row>
    <row r="533" spans="3:3" ht="12.75" x14ac:dyDescent="0.2">
      <c r="C533" s="6"/>
    </row>
    <row r="534" spans="3:3" ht="12.75" x14ac:dyDescent="0.2">
      <c r="C534" s="6"/>
    </row>
    <row r="535" spans="3:3" ht="12.75" x14ac:dyDescent="0.2">
      <c r="C535" s="6"/>
    </row>
    <row r="536" spans="3:3" ht="12.75" x14ac:dyDescent="0.2">
      <c r="C536" s="6"/>
    </row>
    <row r="537" spans="3:3" ht="12.75" x14ac:dyDescent="0.2">
      <c r="C537" s="6"/>
    </row>
    <row r="538" spans="3:3" ht="12.75" x14ac:dyDescent="0.2">
      <c r="C538" s="6"/>
    </row>
    <row r="539" spans="3:3" ht="12.75" x14ac:dyDescent="0.2">
      <c r="C539" s="6"/>
    </row>
    <row r="540" spans="3:3" ht="12.75" x14ac:dyDescent="0.2">
      <c r="C540" s="6"/>
    </row>
    <row r="541" spans="3:3" ht="12.75" x14ac:dyDescent="0.2">
      <c r="C541" s="6"/>
    </row>
    <row r="542" spans="3:3" ht="12.75" x14ac:dyDescent="0.2">
      <c r="C542" s="6"/>
    </row>
    <row r="543" spans="3:3" ht="12.75" x14ac:dyDescent="0.2">
      <c r="C543" s="6"/>
    </row>
    <row r="544" spans="3:3" ht="12.75" x14ac:dyDescent="0.2">
      <c r="C544" s="6"/>
    </row>
    <row r="545" spans="3:3" ht="12.75" x14ac:dyDescent="0.2">
      <c r="C545" s="6"/>
    </row>
    <row r="546" spans="3:3" ht="12.75" x14ac:dyDescent="0.2">
      <c r="C546" s="6"/>
    </row>
    <row r="547" spans="3:3" ht="12.75" x14ac:dyDescent="0.2">
      <c r="C547" s="6"/>
    </row>
    <row r="548" spans="3:3" ht="12.75" x14ac:dyDescent="0.2">
      <c r="C548" s="6"/>
    </row>
    <row r="549" spans="3:3" ht="12.75" x14ac:dyDescent="0.2">
      <c r="C549" s="6"/>
    </row>
    <row r="550" spans="3:3" ht="12.75" x14ac:dyDescent="0.2">
      <c r="C550" s="6"/>
    </row>
    <row r="551" spans="3:3" ht="12.75" x14ac:dyDescent="0.2">
      <c r="C551" s="6"/>
    </row>
    <row r="552" spans="3:3" ht="12.75" x14ac:dyDescent="0.2">
      <c r="C552" s="6"/>
    </row>
    <row r="553" spans="3:3" ht="12.75" x14ac:dyDescent="0.2">
      <c r="C553" s="6"/>
    </row>
    <row r="554" spans="3:3" ht="12.75" x14ac:dyDescent="0.2">
      <c r="C554" s="6"/>
    </row>
    <row r="555" spans="3:3" ht="12.75" x14ac:dyDescent="0.2">
      <c r="C555" s="6"/>
    </row>
    <row r="556" spans="3:3" ht="12.75" x14ac:dyDescent="0.2">
      <c r="C556" s="6"/>
    </row>
    <row r="557" spans="3:3" ht="12.75" x14ac:dyDescent="0.2">
      <c r="C557" s="6"/>
    </row>
    <row r="558" spans="3:3" ht="12.75" x14ac:dyDescent="0.2">
      <c r="C558" s="6"/>
    </row>
    <row r="559" spans="3:3" ht="12.75" x14ac:dyDescent="0.2">
      <c r="C559" s="6"/>
    </row>
    <row r="560" spans="3:3" ht="12.75" x14ac:dyDescent="0.2">
      <c r="C560" s="6"/>
    </row>
    <row r="561" spans="3:3" ht="12.75" x14ac:dyDescent="0.2">
      <c r="C561" s="6"/>
    </row>
    <row r="562" spans="3:3" ht="12.75" x14ac:dyDescent="0.2">
      <c r="C562" s="6"/>
    </row>
    <row r="563" spans="3:3" ht="12.75" x14ac:dyDescent="0.2">
      <c r="C563" s="6"/>
    </row>
    <row r="564" spans="3:3" ht="12.75" x14ac:dyDescent="0.2">
      <c r="C564" s="6"/>
    </row>
    <row r="565" spans="3:3" ht="12.75" x14ac:dyDescent="0.2">
      <c r="C565" s="6"/>
    </row>
    <row r="566" spans="3:3" ht="12.75" x14ac:dyDescent="0.2">
      <c r="C566" s="6"/>
    </row>
    <row r="567" spans="3:3" ht="12.75" x14ac:dyDescent="0.2">
      <c r="C567" s="6"/>
    </row>
    <row r="568" spans="3:3" ht="12.75" x14ac:dyDescent="0.2">
      <c r="C568" s="6"/>
    </row>
    <row r="569" spans="3:3" ht="12.75" x14ac:dyDescent="0.2">
      <c r="C569" s="6"/>
    </row>
    <row r="570" spans="3:3" ht="12.75" x14ac:dyDescent="0.2">
      <c r="C570" s="6"/>
    </row>
    <row r="571" spans="3:3" ht="12.75" x14ac:dyDescent="0.2">
      <c r="C571" s="6"/>
    </row>
    <row r="572" spans="3:3" ht="12.75" x14ac:dyDescent="0.2">
      <c r="C572" s="6"/>
    </row>
    <row r="573" spans="3:3" ht="12.75" x14ac:dyDescent="0.2">
      <c r="C573" s="6"/>
    </row>
    <row r="574" spans="3:3" ht="12.75" x14ac:dyDescent="0.2">
      <c r="C574" s="6"/>
    </row>
    <row r="575" spans="3:3" ht="12.75" x14ac:dyDescent="0.2">
      <c r="C575" s="6"/>
    </row>
    <row r="576" spans="3:3" ht="12.75" x14ac:dyDescent="0.2">
      <c r="C576" s="6"/>
    </row>
    <row r="577" spans="3:3" ht="12.75" x14ac:dyDescent="0.2">
      <c r="C577" s="6"/>
    </row>
    <row r="578" spans="3:3" ht="12.75" x14ac:dyDescent="0.2">
      <c r="C578" s="6"/>
    </row>
    <row r="579" spans="3:3" ht="12.75" x14ac:dyDescent="0.2">
      <c r="C579" s="6"/>
    </row>
    <row r="580" spans="3:3" ht="12.75" x14ac:dyDescent="0.2">
      <c r="C580" s="6"/>
    </row>
    <row r="581" spans="3:3" ht="12.75" x14ac:dyDescent="0.2">
      <c r="C581" s="6"/>
    </row>
    <row r="582" spans="3:3" ht="12.75" x14ac:dyDescent="0.2">
      <c r="C582" s="6"/>
    </row>
    <row r="583" spans="3:3" ht="12.75" x14ac:dyDescent="0.2">
      <c r="C583" s="6"/>
    </row>
    <row r="584" spans="3:3" ht="12.75" x14ac:dyDescent="0.2">
      <c r="C584" s="6"/>
    </row>
    <row r="585" spans="3:3" ht="12.75" x14ac:dyDescent="0.2">
      <c r="C585" s="6"/>
    </row>
    <row r="586" spans="3:3" ht="12.75" x14ac:dyDescent="0.2">
      <c r="C586" s="6"/>
    </row>
    <row r="587" spans="3:3" ht="12.75" x14ac:dyDescent="0.2">
      <c r="C587" s="6"/>
    </row>
    <row r="588" spans="3:3" ht="12.75" x14ac:dyDescent="0.2">
      <c r="C588" s="6"/>
    </row>
    <row r="589" spans="3:3" ht="12.75" x14ac:dyDescent="0.2">
      <c r="C589" s="6"/>
    </row>
    <row r="590" spans="3:3" ht="12.75" x14ac:dyDescent="0.2">
      <c r="C590" s="6"/>
    </row>
    <row r="591" spans="3:3" ht="12.75" x14ac:dyDescent="0.2">
      <c r="C591" s="6"/>
    </row>
    <row r="592" spans="3:3" ht="12.75" x14ac:dyDescent="0.2">
      <c r="C592" s="6"/>
    </row>
    <row r="593" spans="3:3" ht="12.75" x14ac:dyDescent="0.2">
      <c r="C593" s="6"/>
    </row>
    <row r="594" spans="3:3" ht="12.75" x14ac:dyDescent="0.2">
      <c r="C594" s="6"/>
    </row>
    <row r="595" spans="3:3" ht="12.75" x14ac:dyDescent="0.2">
      <c r="C595" s="6"/>
    </row>
    <row r="596" spans="3:3" ht="12.75" x14ac:dyDescent="0.2">
      <c r="C596" s="6"/>
    </row>
    <row r="597" spans="3:3" ht="12.75" x14ac:dyDescent="0.2">
      <c r="C597" s="6"/>
    </row>
    <row r="598" spans="3:3" ht="12.75" x14ac:dyDescent="0.2">
      <c r="C598" s="6"/>
    </row>
    <row r="599" spans="3:3" ht="12.75" x14ac:dyDescent="0.2">
      <c r="C599" s="6"/>
    </row>
    <row r="600" spans="3:3" ht="12.75" x14ac:dyDescent="0.2">
      <c r="C600" s="6"/>
    </row>
    <row r="601" spans="3:3" ht="12.75" x14ac:dyDescent="0.2">
      <c r="C601" s="6"/>
    </row>
    <row r="602" spans="3:3" ht="12.75" x14ac:dyDescent="0.2">
      <c r="C602" s="6"/>
    </row>
    <row r="603" spans="3:3" ht="12.75" x14ac:dyDescent="0.2">
      <c r="C603" s="6"/>
    </row>
    <row r="604" spans="3:3" ht="12.75" x14ac:dyDescent="0.2">
      <c r="C604" s="6"/>
    </row>
    <row r="605" spans="3:3" ht="12.75" x14ac:dyDescent="0.2">
      <c r="C605" s="6"/>
    </row>
    <row r="606" spans="3:3" ht="12.75" x14ac:dyDescent="0.2">
      <c r="C606" s="6"/>
    </row>
    <row r="607" spans="3:3" ht="12.75" x14ac:dyDescent="0.2">
      <c r="C607" s="6"/>
    </row>
    <row r="608" spans="3:3" ht="12.75" x14ac:dyDescent="0.2">
      <c r="C608" s="6"/>
    </row>
    <row r="609" spans="3:3" ht="12.75" x14ac:dyDescent="0.2">
      <c r="C609" s="6"/>
    </row>
    <row r="610" spans="3:3" ht="12.75" x14ac:dyDescent="0.2">
      <c r="C610" s="6"/>
    </row>
    <row r="611" spans="3:3" ht="12.75" x14ac:dyDescent="0.2">
      <c r="C611" s="6"/>
    </row>
    <row r="612" spans="3:3" ht="12.75" x14ac:dyDescent="0.2">
      <c r="C612" s="6"/>
    </row>
    <row r="613" spans="3:3" ht="12.75" x14ac:dyDescent="0.2">
      <c r="C613" s="6"/>
    </row>
    <row r="614" spans="3:3" ht="12.75" x14ac:dyDescent="0.2">
      <c r="C614" s="6"/>
    </row>
    <row r="615" spans="3:3" ht="12.75" x14ac:dyDescent="0.2">
      <c r="C615" s="6"/>
    </row>
    <row r="616" spans="3:3" ht="12.75" x14ac:dyDescent="0.2">
      <c r="C616" s="6"/>
    </row>
    <row r="617" spans="3:3" ht="12.75" x14ac:dyDescent="0.2">
      <c r="C617" s="6"/>
    </row>
    <row r="618" spans="3:3" ht="12.75" x14ac:dyDescent="0.2">
      <c r="C618" s="6"/>
    </row>
    <row r="619" spans="3:3" ht="12.75" x14ac:dyDescent="0.2">
      <c r="C619" s="6"/>
    </row>
    <row r="620" spans="3:3" ht="12.75" x14ac:dyDescent="0.2">
      <c r="C620" s="6"/>
    </row>
    <row r="621" spans="3:3" ht="12.75" x14ac:dyDescent="0.2">
      <c r="C621" s="6"/>
    </row>
    <row r="622" spans="3:3" ht="12.75" x14ac:dyDescent="0.2">
      <c r="C622" s="6"/>
    </row>
    <row r="623" spans="3:3" ht="12.75" x14ac:dyDescent="0.2">
      <c r="C623" s="6"/>
    </row>
    <row r="624" spans="3:3" ht="12.75" x14ac:dyDescent="0.2">
      <c r="C624" s="6"/>
    </row>
    <row r="625" spans="3:3" ht="12.75" x14ac:dyDescent="0.2">
      <c r="C625" s="6"/>
    </row>
    <row r="626" spans="3:3" ht="12.75" x14ac:dyDescent="0.2">
      <c r="C626" s="6"/>
    </row>
    <row r="627" spans="3:3" ht="12.75" x14ac:dyDescent="0.2">
      <c r="C627" s="6"/>
    </row>
    <row r="628" spans="3:3" ht="12.75" x14ac:dyDescent="0.2">
      <c r="C628" s="6"/>
    </row>
    <row r="629" spans="3:3" ht="12.75" x14ac:dyDescent="0.2">
      <c r="C629" s="6"/>
    </row>
    <row r="630" spans="3:3" ht="12.75" x14ac:dyDescent="0.2">
      <c r="C630" s="6"/>
    </row>
    <row r="631" spans="3:3" ht="12.75" x14ac:dyDescent="0.2">
      <c r="C631" s="6"/>
    </row>
    <row r="632" spans="3:3" ht="12.75" x14ac:dyDescent="0.2">
      <c r="C632" s="6"/>
    </row>
    <row r="633" spans="3:3" ht="12.75" x14ac:dyDescent="0.2">
      <c r="C633" s="6"/>
    </row>
    <row r="634" spans="3:3" ht="12.75" x14ac:dyDescent="0.2">
      <c r="C634" s="6"/>
    </row>
    <row r="635" spans="3:3" ht="12.75" x14ac:dyDescent="0.2">
      <c r="C635" s="6"/>
    </row>
    <row r="636" spans="3:3" ht="12.75" x14ac:dyDescent="0.2">
      <c r="C636" s="6"/>
    </row>
    <row r="637" spans="3:3" ht="12.75" x14ac:dyDescent="0.2">
      <c r="C637" s="6"/>
    </row>
    <row r="638" spans="3:3" ht="12.75" x14ac:dyDescent="0.2">
      <c r="C638" s="6"/>
    </row>
    <row r="639" spans="3:3" ht="12.75" x14ac:dyDescent="0.2">
      <c r="C639" s="6"/>
    </row>
    <row r="640" spans="3:3" ht="12.75" x14ac:dyDescent="0.2">
      <c r="C640" s="6"/>
    </row>
    <row r="641" spans="3:3" ht="12.75" x14ac:dyDescent="0.2">
      <c r="C641" s="6"/>
    </row>
    <row r="642" spans="3:3" ht="12.75" x14ac:dyDescent="0.2">
      <c r="C642" s="6"/>
    </row>
    <row r="643" spans="3:3" ht="12.75" x14ac:dyDescent="0.2">
      <c r="C643" s="6"/>
    </row>
    <row r="644" spans="3:3" ht="12.75" x14ac:dyDescent="0.2">
      <c r="C644" s="6"/>
    </row>
    <row r="645" spans="3:3" ht="12.75" x14ac:dyDescent="0.2">
      <c r="C645" s="6"/>
    </row>
    <row r="646" spans="3:3" ht="12.75" x14ac:dyDescent="0.2">
      <c r="C646" s="6"/>
    </row>
    <row r="647" spans="3:3" ht="12.75" x14ac:dyDescent="0.2">
      <c r="C647" s="6"/>
    </row>
    <row r="648" spans="3:3" ht="12.75" x14ac:dyDescent="0.2">
      <c r="C648" s="6"/>
    </row>
    <row r="649" spans="3:3" ht="12.75" x14ac:dyDescent="0.2">
      <c r="C649" s="6"/>
    </row>
    <row r="650" spans="3:3" ht="12.75" x14ac:dyDescent="0.2">
      <c r="C650" s="6"/>
    </row>
    <row r="651" spans="3:3" ht="12.75" x14ac:dyDescent="0.2">
      <c r="C651" s="6"/>
    </row>
    <row r="652" spans="3:3" ht="12.75" x14ac:dyDescent="0.2">
      <c r="C652" s="6"/>
    </row>
    <row r="653" spans="3:3" ht="12.75" x14ac:dyDescent="0.2">
      <c r="C653" s="6"/>
    </row>
    <row r="654" spans="3:3" ht="12.75" x14ac:dyDescent="0.2">
      <c r="C654" s="6"/>
    </row>
    <row r="655" spans="3:3" ht="12.75" x14ac:dyDescent="0.2">
      <c r="C655" s="6"/>
    </row>
    <row r="656" spans="3:3" ht="12.75" x14ac:dyDescent="0.2">
      <c r="C656" s="6"/>
    </row>
    <row r="657" spans="3:3" ht="12.75" x14ac:dyDescent="0.2">
      <c r="C657" s="6"/>
    </row>
    <row r="658" spans="3:3" ht="12.75" x14ac:dyDescent="0.2">
      <c r="C658" s="6"/>
    </row>
    <row r="659" spans="3:3" ht="12.75" x14ac:dyDescent="0.2">
      <c r="C659" s="6"/>
    </row>
    <row r="660" spans="3:3" ht="12.75" x14ac:dyDescent="0.2">
      <c r="C660" s="6"/>
    </row>
    <row r="661" spans="3:3" ht="12.75" x14ac:dyDescent="0.2">
      <c r="C661" s="6"/>
    </row>
    <row r="662" spans="3:3" ht="12.75" x14ac:dyDescent="0.2">
      <c r="C662" s="6"/>
    </row>
    <row r="663" spans="3:3" ht="12.75" x14ac:dyDescent="0.2">
      <c r="C663" s="6"/>
    </row>
    <row r="664" spans="3:3" ht="12.75" x14ac:dyDescent="0.2">
      <c r="C664" s="6"/>
    </row>
    <row r="665" spans="3:3" ht="12.75" x14ac:dyDescent="0.2">
      <c r="C665" s="6"/>
    </row>
    <row r="666" spans="3:3" ht="12.75" x14ac:dyDescent="0.2">
      <c r="C666" s="6"/>
    </row>
    <row r="667" spans="3:3" ht="12.75" x14ac:dyDescent="0.2">
      <c r="C667" s="6"/>
    </row>
    <row r="668" spans="3:3" ht="12.75" x14ac:dyDescent="0.2">
      <c r="C668" s="6"/>
    </row>
    <row r="669" spans="3:3" ht="12.75" x14ac:dyDescent="0.2">
      <c r="C669" s="6"/>
    </row>
    <row r="670" spans="3:3" ht="12.75" x14ac:dyDescent="0.2">
      <c r="C670" s="6"/>
    </row>
    <row r="671" spans="3:3" ht="12.75" x14ac:dyDescent="0.2">
      <c r="C671" s="6"/>
    </row>
    <row r="672" spans="3:3" ht="12.75" x14ac:dyDescent="0.2">
      <c r="C672" s="6"/>
    </row>
    <row r="673" spans="3:3" ht="12.75" x14ac:dyDescent="0.2">
      <c r="C673" s="6"/>
    </row>
    <row r="674" spans="3:3" ht="12.75" x14ac:dyDescent="0.2">
      <c r="C674" s="6"/>
    </row>
    <row r="675" spans="3:3" ht="12.75" x14ac:dyDescent="0.2">
      <c r="C675" s="6"/>
    </row>
    <row r="676" spans="3:3" ht="12.75" x14ac:dyDescent="0.2">
      <c r="C676" s="6"/>
    </row>
    <row r="677" spans="3:3" ht="12.75" x14ac:dyDescent="0.2">
      <c r="C677" s="6"/>
    </row>
    <row r="678" spans="3:3" ht="12.75" x14ac:dyDescent="0.2">
      <c r="C678" s="6"/>
    </row>
    <row r="679" spans="3:3" ht="12.75" x14ac:dyDescent="0.2">
      <c r="C679" s="6"/>
    </row>
    <row r="680" spans="3:3" ht="12.75" x14ac:dyDescent="0.2">
      <c r="C680" s="6"/>
    </row>
    <row r="681" spans="3:3" ht="12.75" x14ac:dyDescent="0.2">
      <c r="C681" s="6"/>
    </row>
    <row r="682" spans="3:3" ht="12.75" x14ac:dyDescent="0.2">
      <c r="C682" s="6"/>
    </row>
    <row r="683" spans="3:3" ht="12.75" x14ac:dyDescent="0.2">
      <c r="C683" s="6"/>
    </row>
    <row r="684" spans="3:3" ht="12.75" x14ac:dyDescent="0.2">
      <c r="C684" s="6"/>
    </row>
    <row r="685" spans="3:3" ht="12.75" x14ac:dyDescent="0.2">
      <c r="C685" s="6"/>
    </row>
    <row r="686" spans="3:3" ht="12.75" x14ac:dyDescent="0.2">
      <c r="C686" s="6"/>
    </row>
    <row r="687" spans="3:3" ht="12.75" x14ac:dyDescent="0.2">
      <c r="C687" s="6"/>
    </row>
    <row r="688" spans="3:3" ht="12.75" x14ac:dyDescent="0.2">
      <c r="C688" s="6"/>
    </row>
    <row r="689" spans="3:3" ht="12.75" x14ac:dyDescent="0.2">
      <c r="C689" s="6"/>
    </row>
    <row r="690" spans="3:3" ht="12.75" x14ac:dyDescent="0.2">
      <c r="C690" s="6"/>
    </row>
    <row r="691" spans="3:3" ht="12.75" x14ac:dyDescent="0.2">
      <c r="C691" s="6"/>
    </row>
    <row r="692" spans="3:3" ht="12.75" x14ac:dyDescent="0.2">
      <c r="C692" s="6"/>
    </row>
    <row r="693" spans="3:3" ht="12.75" x14ac:dyDescent="0.2">
      <c r="C693" s="6"/>
    </row>
    <row r="694" spans="3:3" ht="12.75" x14ac:dyDescent="0.2">
      <c r="C694" s="6"/>
    </row>
    <row r="695" spans="3:3" ht="12.75" x14ac:dyDescent="0.2">
      <c r="C695" s="6"/>
    </row>
    <row r="696" spans="3:3" ht="12.75" x14ac:dyDescent="0.2">
      <c r="C696" s="6"/>
    </row>
    <row r="697" spans="3:3" ht="12.75" x14ac:dyDescent="0.2">
      <c r="C697" s="6"/>
    </row>
    <row r="698" spans="3:3" ht="12.75" x14ac:dyDescent="0.2">
      <c r="C698" s="6"/>
    </row>
    <row r="699" spans="3:3" ht="12.75" x14ac:dyDescent="0.2">
      <c r="C699" s="6"/>
    </row>
    <row r="700" spans="3:3" ht="12.75" x14ac:dyDescent="0.2">
      <c r="C700" s="6"/>
    </row>
    <row r="701" spans="3:3" ht="12.75" x14ac:dyDescent="0.2">
      <c r="C701" s="6"/>
    </row>
    <row r="702" spans="3:3" ht="12.75" x14ac:dyDescent="0.2">
      <c r="C702" s="6"/>
    </row>
    <row r="703" spans="3:3" ht="12.75" x14ac:dyDescent="0.2">
      <c r="C703" s="6"/>
    </row>
    <row r="704" spans="3:3" ht="12.75" x14ac:dyDescent="0.2">
      <c r="C704" s="6"/>
    </row>
    <row r="705" spans="3:3" ht="12.75" x14ac:dyDescent="0.2">
      <c r="C705" s="6"/>
    </row>
    <row r="706" spans="3:3" ht="12.75" x14ac:dyDescent="0.2">
      <c r="C706" s="6"/>
    </row>
    <row r="707" spans="3:3" ht="12.75" x14ac:dyDescent="0.2">
      <c r="C707" s="6"/>
    </row>
    <row r="708" spans="3:3" ht="12.75" x14ac:dyDescent="0.2">
      <c r="C708" s="6"/>
    </row>
    <row r="709" spans="3:3" ht="12.75" x14ac:dyDescent="0.2">
      <c r="C709" s="6"/>
    </row>
    <row r="710" spans="3:3" ht="12.75" x14ac:dyDescent="0.2">
      <c r="C710" s="6"/>
    </row>
    <row r="711" spans="3:3" ht="12.75" x14ac:dyDescent="0.2">
      <c r="C711" s="6"/>
    </row>
    <row r="712" spans="3:3" ht="12.75" x14ac:dyDescent="0.2">
      <c r="C712" s="6"/>
    </row>
    <row r="713" spans="3:3" ht="12.75" x14ac:dyDescent="0.2">
      <c r="C713" s="6"/>
    </row>
    <row r="714" spans="3:3" ht="12.75" x14ac:dyDescent="0.2">
      <c r="C714" s="6"/>
    </row>
    <row r="715" spans="3:3" ht="12.75" x14ac:dyDescent="0.2">
      <c r="C715" s="6"/>
    </row>
    <row r="716" spans="3:3" ht="12.75" x14ac:dyDescent="0.2">
      <c r="C716" s="6"/>
    </row>
    <row r="717" spans="3:3" ht="12.75" x14ac:dyDescent="0.2">
      <c r="C717" s="6"/>
    </row>
    <row r="718" spans="3:3" ht="12.75" x14ac:dyDescent="0.2">
      <c r="C718" s="6"/>
    </row>
    <row r="719" spans="3:3" ht="12.75" x14ac:dyDescent="0.2">
      <c r="C719" s="6"/>
    </row>
    <row r="720" spans="3:3" ht="12.75" x14ac:dyDescent="0.2">
      <c r="C720" s="6"/>
    </row>
    <row r="721" spans="3:3" ht="12.75" x14ac:dyDescent="0.2">
      <c r="C721" s="6"/>
    </row>
    <row r="722" spans="3:3" ht="12.75" x14ac:dyDescent="0.2">
      <c r="C722" s="6"/>
    </row>
    <row r="723" spans="3:3" ht="12.75" x14ac:dyDescent="0.2">
      <c r="C723" s="6"/>
    </row>
    <row r="724" spans="3:3" ht="12.75" x14ac:dyDescent="0.2">
      <c r="C724" s="6"/>
    </row>
    <row r="725" spans="3:3" ht="12.75" x14ac:dyDescent="0.2">
      <c r="C725" s="6"/>
    </row>
    <row r="726" spans="3:3" ht="12.75" x14ac:dyDescent="0.2">
      <c r="C726" s="6"/>
    </row>
    <row r="727" spans="3:3" ht="12.75" x14ac:dyDescent="0.2">
      <c r="C727" s="6"/>
    </row>
    <row r="728" spans="3:3" ht="12.75" x14ac:dyDescent="0.2">
      <c r="C728" s="6"/>
    </row>
    <row r="729" spans="3:3" ht="12.75" x14ac:dyDescent="0.2">
      <c r="C729" s="6"/>
    </row>
    <row r="730" spans="3:3" ht="12.75" x14ac:dyDescent="0.2">
      <c r="C730" s="6"/>
    </row>
    <row r="731" spans="3:3" ht="12.75" x14ac:dyDescent="0.2">
      <c r="C731" s="6"/>
    </row>
    <row r="732" spans="3:3" ht="12.75" x14ac:dyDescent="0.2">
      <c r="C732" s="6"/>
    </row>
    <row r="733" spans="3:3" ht="12.75" x14ac:dyDescent="0.2">
      <c r="C733" s="6"/>
    </row>
    <row r="734" spans="3:3" ht="12.75" x14ac:dyDescent="0.2">
      <c r="C734" s="6"/>
    </row>
    <row r="735" spans="3:3" ht="12.75" x14ac:dyDescent="0.2">
      <c r="C735" s="6"/>
    </row>
    <row r="736" spans="3:3" ht="12.75" x14ac:dyDescent="0.2">
      <c r="C736" s="6"/>
    </row>
    <row r="737" spans="3:3" ht="12.75" x14ac:dyDescent="0.2">
      <c r="C737" s="6"/>
    </row>
    <row r="738" spans="3:3" ht="12.75" x14ac:dyDescent="0.2">
      <c r="C738" s="6"/>
    </row>
    <row r="739" spans="3:3" ht="12.75" x14ac:dyDescent="0.2">
      <c r="C739" s="6"/>
    </row>
    <row r="740" spans="3:3" ht="12.75" x14ac:dyDescent="0.2">
      <c r="C740" s="6"/>
    </row>
    <row r="741" spans="3:3" ht="12.75" x14ac:dyDescent="0.2">
      <c r="C741" s="6"/>
    </row>
    <row r="742" spans="3:3" ht="12.75" x14ac:dyDescent="0.2">
      <c r="C742" s="6"/>
    </row>
    <row r="743" spans="3:3" ht="12.75" x14ac:dyDescent="0.2">
      <c r="C743" s="6"/>
    </row>
    <row r="744" spans="3:3" ht="12.75" x14ac:dyDescent="0.2">
      <c r="C744" s="6"/>
    </row>
    <row r="745" spans="3:3" ht="12.75" x14ac:dyDescent="0.2">
      <c r="C745" s="6"/>
    </row>
    <row r="746" spans="3:3" ht="12.75" x14ac:dyDescent="0.2">
      <c r="C746" s="6"/>
    </row>
    <row r="747" spans="3:3" ht="12.75" x14ac:dyDescent="0.2">
      <c r="C747" s="6"/>
    </row>
    <row r="748" spans="3:3" ht="12.75" x14ac:dyDescent="0.2">
      <c r="C748" s="6"/>
    </row>
    <row r="749" spans="3:3" ht="12.75" x14ac:dyDescent="0.2">
      <c r="C749" s="6"/>
    </row>
    <row r="750" spans="3:3" ht="12.75" x14ac:dyDescent="0.2">
      <c r="C750" s="6"/>
    </row>
    <row r="751" spans="3:3" ht="12.75" x14ac:dyDescent="0.2">
      <c r="C751" s="6"/>
    </row>
    <row r="752" spans="3:3" ht="12.75" x14ac:dyDescent="0.2">
      <c r="C752" s="6"/>
    </row>
    <row r="753" spans="3:3" ht="12.75" x14ac:dyDescent="0.2">
      <c r="C753" s="6"/>
    </row>
    <row r="754" spans="3:3" ht="12.75" x14ac:dyDescent="0.2">
      <c r="C754" s="6"/>
    </row>
    <row r="755" spans="3:3" ht="12.75" x14ac:dyDescent="0.2">
      <c r="C755" s="6"/>
    </row>
    <row r="756" spans="3:3" ht="12.75" x14ac:dyDescent="0.2">
      <c r="C756" s="6"/>
    </row>
    <row r="757" spans="3:3" ht="12.75" x14ac:dyDescent="0.2">
      <c r="C757" s="6"/>
    </row>
    <row r="758" spans="3:3" ht="12.75" x14ac:dyDescent="0.2">
      <c r="C758" s="6"/>
    </row>
    <row r="759" spans="3:3" ht="12.75" x14ac:dyDescent="0.2">
      <c r="C759" s="6"/>
    </row>
    <row r="760" spans="3:3" ht="12.75" x14ac:dyDescent="0.2">
      <c r="C760" s="6"/>
    </row>
    <row r="761" spans="3:3" ht="12.75" x14ac:dyDescent="0.2">
      <c r="C761" s="6"/>
    </row>
    <row r="762" spans="3:3" ht="12.75" x14ac:dyDescent="0.2">
      <c r="C762" s="6"/>
    </row>
    <row r="763" spans="3:3" ht="12.75" x14ac:dyDescent="0.2">
      <c r="C763" s="6"/>
    </row>
    <row r="764" spans="3:3" ht="12.75" x14ac:dyDescent="0.2">
      <c r="C764" s="6"/>
    </row>
    <row r="765" spans="3:3" ht="12.75" x14ac:dyDescent="0.2">
      <c r="C765" s="6"/>
    </row>
    <row r="766" spans="3:3" ht="12.75" x14ac:dyDescent="0.2">
      <c r="C766" s="6"/>
    </row>
    <row r="767" spans="3:3" ht="12.75" x14ac:dyDescent="0.2">
      <c r="C767" s="6"/>
    </row>
    <row r="768" spans="3:3" ht="12.75" x14ac:dyDescent="0.2">
      <c r="C768" s="6"/>
    </row>
    <row r="769" spans="3:3" ht="12.75" x14ac:dyDescent="0.2">
      <c r="C769" s="6"/>
    </row>
    <row r="770" spans="3:3" ht="12.75" x14ac:dyDescent="0.2">
      <c r="C770" s="6"/>
    </row>
    <row r="771" spans="3:3" ht="12.75" x14ac:dyDescent="0.2">
      <c r="C771" s="6"/>
    </row>
    <row r="772" spans="3:3" ht="12.75" x14ac:dyDescent="0.2">
      <c r="C772" s="6"/>
    </row>
    <row r="773" spans="3:3" ht="12.75" x14ac:dyDescent="0.2">
      <c r="C773" s="6"/>
    </row>
    <row r="774" spans="3:3" ht="12.75" x14ac:dyDescent="0.2">
      <c r="C774" s="6"/>
    </row>
    <row r="775" spans="3:3" ht="12.75" x14ac:dyDescent="0.2">
      <c r="C775" s="6"/>
    </row>
    <row r="776" spans="3:3" ht="12.75" x14ac:dyDescent="0.2">
      <c r="C776" s="6"/>
    </row>
    <row r="777" spans="3:3" ht="12.75" x14ac:dyDescent="0.2">
      <c r="C777" s="6"/>
    </row>
    <row r="778" spans="3:3" ht="12.75" x14ac:dyDescent="0.2">
      <c r="C778" s="6"/>
    </row>
    <row r="779" spans="3:3" ht="12.75" x14ac:dyDescent="0.2">
      <c r="C779" s="6"/>
    </row>
    <row r="780" spans="3:3" ht="12.75" x14ac:dyDescent="0.2">
      <c r="C780" s="6"/>
    </row>
    <row r="781" spans="3:3" ht="12.75" x14ac:dyDescent="0.2">
      <c r="C781" s="6"/>
    </row>
    <row r="782" spans="3:3" ht="12.75" x14ac:dyDescent="0.2">
      <c r="C782" s="6"/>
    </row>
    <row r="783" spans="3:3" ht="12.75" x14ac:dyDescent="0.2">
      <c r="C783" s="6"/>
    </row>
    <row r="784" spans="3:3" ht="12.75" x14ac:dyDescent="0.2">
      <c r="C784" s="6"/>
    </row>
    <row r="785" spans="3:3" ht="12.75" x14ac:dyDescent="0.2">
      <c r="C785" s="6"/>
    </row>
    <row r="786" spans="3:3" ht="12.75" x14ac:dyDescent="0.2">
      <c r="C786" s="6"/>
    </row>
    <row r="787" spans="3:3" ht="12.75" x14ac:dyDescent="0.2">
      <c r="C787" s="6"/>
    </row>
    <row r="788" spans="3:3" ht="12.75" x14ac:dyDescent="0.2">
      <c r="C788" s="6"/>
    </row>
    <row r="789" spans="3:3" ht="12.75" x14ac:dyDescent="0.2">
      <c r="C789" s="6"/>
    </row>
    <row r="790" spans="3:3" ht="12.75" x14ac:dyDescent="0.2">
      <c r="C790" s="6"/>
    </row>
    <row r="791" spans="3:3" ht="12.75" x14ac:dyDescent="0.2">
      <c r="C791" s="6"/>
    </row>
    <row r="792" spans="3:3" ht="12.75" x14ac:dyDescent="0.2">
      <c r="C792" s="6"/>
    </row>
    <row r="793" spans="3:3" ht="12.75" x14ac:dyDescent="0.2">
      <c r="C793" s="6"/>
    </row>
    <row r="794" spans="3:3" ht="12.75" x14ac:dyDescent="0.2">
      <c r="C794" s="6"/>
    </row>
    <row r="795" spans="3:3" ht="12.75" x14ac:dyDescent="0.2">
      <c r="C795" s="6"/>
    </row>
    <row r="796" spans="3:3" ht="12.75" x14ac:dyDescent="0.2">
      <c r="C796" s="6"/>
    </row>
    <row r="797" spans="3:3" ht="12.75" x14ac:dyDescent="0.2">
      <c r="C797" s="6"/>
    </row>
    <row r="798" spans="3:3" ht="12.75" x14ac:dyDescent="0.2">
      <c r="C798" s="6"/>
    </row>
    <row r="799" spans="3:3" ht="12.75" x14ac:dyDescent="0.2">
      <c r="C799" s="6"/>
    </row>
    <row r="800" spans="3:3" ht="12.75" x14ac:dyDescent="0.2">
      <c r="C800" s="6"/>
    </row>
    <row r="801" spans="3:3" ht="12.75" x14ac:dyDescent="0.2">
      <c r="C801" s="6"/>
    </row>
    <row r="802" spans="3:3" ht="12.75" x14ac:dyDescent="0.2">
      <c r="C802" s="6"/>
    </row>
    <row r="803" spans="3:3" ht="12.75" x14ac:dyDescent="0.2">
      <c r="C803" s="6"/>
    </row>
    <row r="804" spans="3:3" ht="12.75" x14ac:dyDescent="0.2">
      <c r="C804" s="6"/>
    </row>
    <row r="805" spans="3:3" ht="12.75" x14ac:dyDescent="0.2">
      <c r="C805" s="6"/>
    </row>
    <row r="806" spans="3:3" ht="12.75" x14ac:dyDescent="0.2">
      <c r="C806" s="6"/>
    </row>
    <row r="807" spans="3:3" ht="12.75" x14ac:dyDescent="0.2">
      <c r="C807" s="6"/>
    </row>
    <row r="808" spans="3:3" ht="12.75" x14ac:dyDescent="0.2">
      <c r="C808" s="6"/>
    </row>
    <row r="809" spans="3:3" ht="12.75" x14ac:dyDescent="0.2">
      <c r="C809" s="6"/>
    </row>
    <row r="810" spans="3:3" ht="12.75" x14ac:dyDescent="0.2">
      <c r="C810" s="6"/>
    </row>
    <row r="811" spans="3:3" ht="12.75" x14ac:dyDescent="0.2">
      <c r="C811" s="6"/>
    </row>
    <row r="812" spans="3:3" ht="12.75" x14ac:dyDescent="0.2">
      <c r="C812" s="6"/>
    </row>
    <row r="813" spans="3:3" ht="12.75" x14ac:dyDescent="0.2">
      <c r="C813" s="6"/>
    </row>
    <row r="814" spans="3:3" ht="12.75" x14ac:dyDescent="0.2">
      <c r="C814" s="6"/>
    </row>
    <row r="815" spans="3:3" ht="12.75" x14ac:dyDescent="0.2">
      <c r="C815" s="6"/>
    </row>
    <row r="816" spans="3:3" ht="12.75" x14ac:dyDescent="0.2">
      <c r="C816" s="6"/>
    </row>
    <row r="817" spans="3:3" ht="12.75" x14ac:dyDescent="0.2">
      <c r="C817" s="6"/>
    </row>
    <row r="818" spans="3:3" ht="12.75" x14ac:dyDescent="0.2">
      <c r="C818" s="6"/>
    </row>
    <row r="819" spans="3:3" ht="12.75" x14ac:dyDescent="0.2">
      <c r="C819" s="6"/>
    </row>
    <row r="820" spans="3:3" ht="12.75" x14ac:dyDescent="0.2">
      <c r="C820" s="6"/>
    </row>
    <row r="821" spans="3:3" ht="12.75" x14ac:dyDescent="0.2">
      <c r="C821" s="6"/>
    </row>
    <row r="822" spans="3:3" ht="12.75" x14ac:dyDescent="0.2">
      <c r="C822" s="6"/>
    </row>
    <row r="823" spans="3:3" ht="12.75" x14ac:dyDescent="0.2">
      <c r="C823" s="6"/>
    </row>
    <row r="824" spans="3:3" ht="12.75" x14ac:dyDescent="0.2">
      <c r="C824" s="6"/>
    </row>
    <row r="825" spans="3:3" ht="12.75" x14ac:dyDescent="0.2">
      <c r="C825" s="6"/>
    </row>
    <row r="826" spans="3:3" ht="12.75" x14ac:dyDescent="0.2">
      <c r="C826" s="6"/>
    </row>
    <row r="827" spans="3:3" ht="12.75" x14ac:dyDescent="0.2">
      <c r="C827" s="6"/>
    </row>
    <row r="828" spans="3:3" ht="12.75" x14ac:dyDescent="0.2">
      <c r="C828" s="6"/>
    </row>
    <row r="829" spans="3:3" ht="12.75" x14ac:dyDescent="0.2">
      <c r="C829" s="6"/>
    </row>
    <row r="830" spans="3:3" ht="12.75" x14ac:dyDescent="0.2">
      <c r="C830" s="6"/>
    </row>
    <row r="831" spans="3:3" ht="12.75" x14ac:dyDescent="0.2">
      <c r="C831" s="6"/>
    </row>
    <row r="832" spans="3:3" ht="12.75" x14ac:dyDescent="0.2">
      <c r="C832" s="6"/>
    </row>
    <row r="833" spans="3:3" ht="12.75" x14ac:dyDescent="0.2">
      <c r="C833" s="6"/>
    </row>
    <row r="834" spans="3:3" ht="12.75" x14ac:dyDescent="0.2">
      <c r="C834" s="6"/>
    </row>
    <row r="835" spans="3:3" ht="12.75" x14ac:dyDescent="0.2">
      <c r="C835" s="6"/>
    </row>
    <row r="836" spans="3:3" ht="12.75" x14ac:dyDescent="0.2">
      <c r="C836" s="6"/>
    </row>
    <row r="837" spans="3:3" ht="12.75" x14ac:dyDescent="0.2">
      <c r="C837" s="6"/>
    </row>
    <row r="838" spans="3:3" ht="12.75" x14ac:dyDescent="0.2">
      <c r="C838" s="6"/>
    </row>
    <row r="839" spans="3:3" ht="12.75" x14ac:dyDescent="0.2">
      <c r="C839" s="6"/>
    </row>
    <row r="840" spans="3:3" ht="12.75" x14ac:dyDescent="0.2">
      <c r="C840" s="6"/>
    </row>
    <row r="841" spans="3:3" ht="12.75" x14ac:dyDescent="0.2">
      <c r="C841" s="6"/>
    </row>
    <row r="842" spans="3:3" ht="12.75" x14ac:dyDescent="0.2">
      <c r="C842" s="6"/>
    </row>
    <row r="843" spans="3:3" ht="12.75" x14ac:dyDescent="0.2">
      <c r="C843" s="6"/>
    </row>
    <row r="844" spans="3:3" ht="12.75" x14ac:dyDescent="0.2">
      <c r="C844" s="6"/>
    </row>
    <row r="845" spans="3:3" ht="12.75" x14ac:dyDescent="0.2">
      <c r="C845" s="6"/>
    </row>
    <row r="846" spans="3:3" ht="12.75" x14ac:dyDescent="0.2">
      <c r="C846" s="6"/>
    </row>
    <row r="847" spans="3:3" ht="12.75" x14ac:dyDescent="0.2">
      <c r="C847" s="6"/>
    </row>
    <row r="848" spans="3:3" ht="12.75" x14ac:dyDescent="0.2">
      <c r="C848" s="6"/>
    </row>
    <row r="849" spans="3:3" ht="12.75" x14ac:dyDescent="0.2">
      <c r="C849" s="6"/>
    </row>
    <row r="850" spans="3:3" ht="12.75" x14ac:dyDescent="0.2">
      <c r="C850" s="6"/>
    </row>
    <row r="851" spans="3:3" ht="12.75" x14ac:dyDescent="0.2">
      <c r="C851" s="6"/>
    </row>
    <row r="852" spans="3:3" ht="12.75" x14ac:dyDescent="0.2">
      <c r="C852" s="6"/>
    </row>
    <row r="853" spans="3:3" ht="12.75" x14ac:dyDescent="0.2">
      <c r="C853" s="6"/>
    </row>
    <row r="854" spans="3:3" ht="12.75" x14ac:dyDescent="0.2">
      <c r="C854" s="6"/>
    </row>
    <row r="855" spans="3:3" ht="12.75" x14ac:dyDescent="0.2">
      <c r="C855" s="6"/>
    </row>
    <row r="856" spans="3:3" ht="12.75" x14ac:dyDescent="0.2">
      <c r="C856" s="6"/>
    </row>
    <row r="857" spans="3:3" ht="12.75" x14ac:dyDescent="0.2">
      <c r="C857" s="6"/>
    </row>
    <row r="858" spans="3:3" ht="12.75" x14ac:dyDescent="0.2">
      <c r="C858" s="6"/>
    </row>
    <row r="859" spans="3:3" ht="12.75" x14ac:dyDescent="0.2">
      <c r="C859" s="6"/>
    </row>
    <row r="860" spans="3:3" ht="12.75" x14ac:dyDescent="0.2">
      <c r="C860" s="6"/>
    </row>
    <row r="861" spans="3:3" ht="12.75" x14ac:dyDescent="0.2">
      <c r="C861" s="6"/>
    </row>
    <row r="862" spans="3:3" ht="12.75" x14ac:dyDescent="0.2">
      <c r="C862" s="6"/>
    </row>
    <row r="863" spans="3:3" ht="12.75" x14ac:dyDescent="0.2">
      <c r="C863" s="6"/>
    </row>
    <row r="864" spans="3:3" ht="12.75" x14ac:dyDescent="0.2">
      <c r="C864" s="6"/>
    </row>
    <row r="865" spans="3:3" ht="12.75" x14ac:dyDescent="0.2">
      <c r="C865" s="6"/>
    </row>
    <row r="866" spans="3:3" ht="12.75" x14ac:dyDescent="0.2">
      <c r="C866" s="6"/>
    </row>
    <row r="867" spans="3:3" ht="12.75" x14ac:dyDescent="0.2">
      <c r="C867" s="6"/>
    </row>
    <row r="868" spans="3:3" ht="12.75" x14ac:dyDescent="0.2">
      <c r="C868" s="6"/>
    </row>
    <row r="869" spans="3:3" ht="12.75" x14ac:dyDescent="0.2">
      <c r="C869" s="6"/>
    </row>
    <row r="870" spans="3:3" ht="12.75" x14ac:dyDescent="0.2">
      <c r="C870" s="6"/>
    </row>
    <row r="871" spans="3:3" ht="12.75" x14ac:dyDescent="0.2">
      <c r="C871" s="6"/>
    </row>
    <row r="872" spans="3:3" ht="12.75" x14ac:dyDescent="0.2">
      <c r="C872" s="6"/>
    </row>
    <row r="873" spans="3:3" ht="12.75" x14ac:dyDescent="0.2">
      <c r="C873" s="6"/>
    </row>
    <row r="874" spans="3:3" ht="12.75" x14ac:dyDescent="0.2">
      <c r="C874" s="6"/>
    </row>
    <row r="875" spans="3:3" ht="12.75" x14ac:dyDescent="0.2">
      <c r="C875" s="6"/>
    </row>
    <row r="876" spans="3:3" ht="12.75" x14ac:dyDescent="0.2">
      <c r="C876" s="6"/>
    </row>
    <row r="877" spans="3:3" ht="12.75" x14ac:dyDescent="0.2">
      <c r="C877" s="6"/>
    </row>
    <row r="878" spans="3:3" ht="12.75" x14ac:dyDescent="0.2">
      <c r="C878" s="6"/>
    </row>
    <row r="879" spans="3:3" ht="12.75" x14ac:dyDescent="0.2">
      <c r="C879" s="6"/>
    </row>
    <row r="880" spans="3:3" ht="12.75" x14ac:dyDescent="0.2">
      <c r="C880" s="6"/>
    </row>
    <row r="881" spans="3:3" ht="12.75" x14ac:dyDescent="0.2">
      <c r="C881" s="6"/>
    </row>
    <row r="882" spans="3:3" ht="12.75" x14ac:dyDescent="0.2">
      <c r="C882" s="6"/>
    </row>
    <row r="883" spans="3:3" ht="12.75" x14ac:dyDescent="0.2">
      <c r="C883" s="6"/>
    </row>
    <row r="884" spans="3:3" ht="12.75" x14ac:dyDescent="0.2">
      <c r="C884" s="6"/>
    </row>
    <row r="885" spans="3:3" ht="12.75" x14ac:dyDescent="0.2">
      <c r="C885" s="6"/>
    </row>
    <row r="886" spans="3:3" ht="12.75" x14ac:dyDescent="0.2">
      <c r="C886" s="6"/>
    </row>
    <row r="887" spans="3:3" ht="12.75" x14ac:dyDescent="0.2">
      <c r="C887" s="6"/>
    </row>
    <row r="888" spans="3:3" ht="12.75" x14ac:dyDescent="0.2">
      <c r="C888" s="6"/>
    </row>
    <row r="889" spans="3:3" ht="12.75" x14ac:dyDescent="0.2">
      <c r="C889" s="6"/>
    </row>
    <row r="890" spans="3:3" ht="12.75" x14ac:dyDescent="0.2">
      <c r="C890" s="6"/>
    </row>
    <row r="891" spans="3:3" ht="12.75" x14ac:dyDescent="0.2">
      <c r="C891" s="6"/>
    </row>
    <row r="892" spans="3:3" ht="12.75" x14ac:dyDescent="0.2">
      <c r="C892" s="6"/>
    </row>
    <row r="893" spans="3:3" ht="12.75" x14ac:dyDescent="0.2">
      <c r="C893" s="6"/>
    </row>
    <row r="894" spans="3:3" ht="12.75" x14ac:dyDescent="0.2">
      <c r="C894" s="6"/>
    </row>
    <row r="895" spans="3:3" ht="12.75" x14ac:dyDescent="0.2">
      <c r="C895" s="6"/>
    </row>
    <row r="896" spans="3:3" ht="12.75" x14ac:dyDescent="0.2">
      <c r="C896" s="6"/>
    </row>
    <row r="897" spans="3:3" ht="12.75" x14ac:dyDescent="0.2">
      <c r="C897" s="6"/>
    </row>
    <row r="898" spans="3:3" ht="12.75" x14ac:dyDescent="0.2">
      <c r="C898" s="6"/>
    </row>
    <row r="899" spans="3:3" ht="12.75" x14ac:dyDescent="0.2">
      <c r="C899" s="6"/>
    </row>
    <row r="900" spans="3:3" ht="12.75" x14ac:dyDescent="0.2">
      <c r="C900" s="6"/>
    </row>
    <row r="901" spans="3:3" ht="12.75" x14ac:dyDescent="0.2">
      <c r="C901" s="6"/>
    </row>
    <row r="902" spans="3:3" ht="12.75" x14ac:dyDescent="0.2">
      <c r="C902" s="6"/>
    </row>
    <row r="903" spans="3:3" ht="12.75" x14ac:dyDescent="0.2">
      <c r="C903" s="6"/>
    </row>
    <row r="904" spans="3:3" ht="12.75" x14ac:dyDescent="0.2">
      <c r="C904" s="6"/>
    </row>
    <row r="905" spans="3:3" ht="12.75" x14ac:dyDescent="0.2">
      <c r="C905" s="6"/>
    </row>
    <row r="906" spans="3:3" ht="12.75" x14ac:dyDescent="0.2">
      <c r="C906" s="6"/>
    </row>
    <row r="907" spans="3:3" ht="12.75" x14ac:dyDescent="0.2">
      <c r="C907" s="6"/>
    </row>
    <row r="908" spans="3:3" ht="12.75" x14ac:dyDescent="0.2">
      <c r="C908" s="6"/>
    </row>
    <row r="909" spans="3:3" ht="12.75" x14ac:dyDescent="0.2">
      <c r="C909" s="6"/>
    </row>
    <row r="910" spans="3:3" ht="12.75" x14ac:dyDescent="0.2">
      <c r="C910" s="6"/>
    </row>
    <row r="911" spans="3:3" ht="12.75" x14ac:dyDescent="0.2">
      <c r="C911" s="6"/>
    </row>
    <row r="912" spans="3:3" ht="12.75" x14ac:dyDescent="0.2">
      <c r="C912" s="6"/>
    </row>
    <row r="913" spans="3:3" ht="12.75" x14ac:dyDescent="0.2">
      <c r="C913" s="6"/>
    </row>
    <row r="914" spans="3:3" ht="12.75" x14ac:dyDescent="0.2">
      <c r="C914" s="6"/>
    </row>
    <row r="915" spans="3:3" ht="12.75" x14ac:dyDescent="0.2">
      <c r="C915" s="6"/>
    </row>
    <row r="916" spans="3:3" ht="12.75" x14ac:dyDescent="0.2">
      <c r="C916" s="6"/>
    </row>
    <row r="917" spans="3:3" ht="12.75" x14ac:dyDescent="0.2">
      <c r="C917" s="6"/>
    </row>
    <row r="918" spans="3:3" ht="12.75" x14ac:dyDescent="0.2">
      <c r="C918" s="6"/>
    </row>
    <row r="919" spans="3:3" ht="12.75" x14ac:dyDescent="0.2">
      <c r="C919" s="6"/>
    </row>
    <row r="920" spans="3:3" ht="12.75" x14ac:dyDescent="0.2">
      <c r="C920" s="6"/>
    </row>
    <row r="921" spans="3:3" ht="12.75" x14ac:dyDescent="0.2">
      <c r="C921" s="6"/>
    </row>
    <row r="922" spans="3:3" ht="12.75" x14ac:dyDescent="0.2">
      <c r="C922" s="6"/>
    </row>
    <row r="923" spans="3:3" ht="12.75" x14ac:dyDescent="0.2">
      <c r="C923" s="6"/>
    </row>
    <row r="924" spans="3:3" ht="12.75" x14ac:dyDescent="0.2">
      <c r="C924" s="6"/>
    </row>
    <row r="925" spans="3:3" ht="12.75" x14ac:dyDescent="0.2">
      <c r="C925" s="6"/>
    </row>
    <row r="926" spans="3:3" ht="12.75" x14ac:dyDescent="0.2">
      <c r="C926" s="6"/>
    </row>
    <row r="927" spans="3:3" ht="12.75" x14ac:dyDescent="0.2">
      <c r="C927" s="6"/>
    </row>
    <row r="928" spans="3:3" ht="12.75" x14ac:dyDescent="0.2">
      <c r="C928" s="6"/>
    </row>
    <row r="929" spans="3:3" ht="12.75" x14ac:dyDescent="0.2">
      <c r="C929" s="6"/>
    </row>
    <row r="930" spans="3:3" ht="12.75" x14ac:dyDescent="0.2">
      <c r="C930" s="6"/>
    </row>
    <row r="931" spans="3:3" ht="12.75" x14ac:dyDescent="0.2">
      <c r="C931" s="6"/>
    </row>
    <row r="932" spans="3:3" ht="12.75" x14ac:dyDescent="0.2">
      <c r="C932" s="6"/>
    </row>
    <row r="933" spans="3:3" ht="12.75" x14ac:dyDescent="0.2">
      <c r="C933" s="6"/>
    </row>
    <row r="934" spans="3:3" ht="12.75" x14ac:dyDescent="0.2">
      <c r="C934" s="6"/>
    </row>
    <row r="935" spans="3:3" ht="12.75" x14ac:dyDescent="0.2">
      <c r="C935" s="6"/>
    </row>
    <row r="936" spans="3:3" ht="12.75" x14ac:dyDescent="0.2">
      <c r="C936" s="6"/>
    </row>
    <row r="937" spans="3:3" ht="12.75" x14ac:dyDescent="0.2">
      <c r="C937" s="6"/>
    </row>
    <row r="938" spans="3:3" ht="12.75" x14ac:dyDescent="0.2">
      <c r="C938" s="6"/>
    </row>
    <row r="939" spans="3:3" ht="12.75" x14ac:dyDescent="0.2">
      <c r="C939" s="6"/>
    </row>
    <row r="940" spans="3:3" ht="12.75" x14ac:dyDescent="0.2">
      <c r="C940" s="6"/>
    </row>
    <row r="941" spans="3:3" ht="12.75" x14ac:dyDescent="0.2">
      <c r="C941" s="6"/>
    </row>
    <row r="942" spans="3:3" ht="12.75" x14ac:dyDescent="0.2">
      <c r="C942" s="6"/>
    </row>
    <row r="943" spans="3:3" ht="12.75" x14ac:dyDescent="0.2">
      <c r="C943" s="6"/>
    </row>
    <row r="944" spans="3:3" ht="12.75" x14ac:dyDescent="0.2">
      <c r="C944" s="6"/>
    </row>
    <row r="945" spans="3:3" ht="12.75" x14ac:dyDescent="0.2">
      <c r="C945" s="6"/>
    </row>
    <row r="946" spans="3:3" ht="12.75" x14ac:dyDescent="0.2">
      <c r="C946" s="6"/>
    </row>
    <row r="947" spans="3:3" ht="12.75" x14ac:dyDescent="0.2">
      <c r="C947" s="6"/>
    </row>
    <row r="948" spans="3:3" ht="12.75" x14ac:dyDescent="0.2">
      <c r="C948" s="6"/>
    </row>
    <row r="949" spans="3:3" ht="12.75" x14ac:dyDescent="0.2">
      <c r="C949" s="6"/>
    </row>
    <row r="950" spans="3:3" ht="12.75" x14ac:dyDescent="0.2">
      <c r="C950" s="6"/>
    </row>
    <row r="951" spans="3:3" ht="12.75" x14ac:dyDescent="0.2">
      <c r="C951" s="6"/>
    </row>
    <row r="952" spans="3:3" ht="12.75" x14ac:dyDescent="0.2">
      <c r="C952" s="6"/>
    </row>
    <row r="953" spans="3:3" ht="12.75" x14ac:dyDescent="0.2">
      <c r="C953" s="6"/>
    </row>
    <row r="954" spans="3:3" ht="12.75" x14ac:dyDescent="0.2">
      <c r="C954" s="6"/>
    </row>
    <row r="955" spans="3:3" ht="12.75" x14ac:dyDescent="0.2">
      <c r="C955" s="6"/>
    </row>
    <row r="956" spans="3:3" ht="12.75" x14ac:dyDescent="0.2">
      <c r="C956" s="6"/>
    </row>
    <row r="957" spans="3:3" ht="12.75" x14ac:dyDescent="0.2">
      <c r="C957" s="6"/>
    </row>
    <row r="958" spans="3:3" ht="12.75" x14ac:dyDescent="0.2">
      <c r="C958" s="6"/>
    </row>
    <row r="959" spans="3:3" ht="12.75" x14ac:dyDescent="0.2">
      <c r="C959" s="6"/>
    </row>
    <row r="960" spans="3:3" ht="12.75" x14ac:dyDescent="0.2">
      <c r="C960" s="6"/>
    </row>
    <row r="961" spans="3:3" ht="12.75" x14ac:dyDescent="0.2">
      <c r="C961" s="6"/>
    </row>
    <row r="962" spans="3:3" ht="12.75" x14ac:dyDescent="0.2">
      <c r="C962" s="6"/>
    </row>
    <row r="963" spans="3:3" ht="12.75" x14ac:dyDescent="0.2">
      <c r="C963" s="6"/>
    </row>
    <row r="964" spans="3:3" ht="12.75" x14ac:dyDescent="0.2">
      <c r="C964" s="6"/>
    </row>
    <row r="965" spans="3:3" ht="12.75" x14ac:dyDescent="0.2">
      <c r="C965" s="6"/>
    </row>
    <row r="966" spans="3:3" ht="12.75" x14ac:dyDescent="0.2">
      <c r="C966" s="6"/>
    </row>
    <row r="967" spans="3:3" ht="12.75" x14ac:dyDescent="0.2">
      <c r="C967" s="6"/>
    </row>
    <row r="968" spans="3:3" ht="12.75" x14ac:dyDescent="0.2">
      <c r="C968" s="6"/>
    </row>
    <row r="969" spans="3:3" ht="12.75" x14ac:dyDescent="0.2">
      <c r="C969" s="6"/>
    </row>
    <row r="970" spans="3:3" ht="12.75" x14ac:dyDescent="0.2">
      <c r="C970" s="6"/>
    </row>
    <row r="971" spans="3:3" ht="12.75" x14ac:dyDescent="0.2">
      <c r="C971" s="6"/>
    </row>
    <row r="972" spans="3:3" ht="12.75" x14ac:dyDescent="0.2">
      <c r="C972" s="6"/>
    </row>
    <row r="973" spans="3:3" ht="12.75" x14ac:dyDescent="0.2">
      <c r="C973" s="6"/>
    </row>
    <row r="974" spans="3:3" ht="12.75" x14ac:dyDescent="0.2">
      <c r="C974" s="6"/>
    </row>
    <row r="975" spans="3:3" ht="12.75" x14ac:dyDescent="0.2">
      <c r="C975" s="6"/>
    </row>
    <row r="976" spans="3:3" ht="12.75" x14ac:dyDescent="0.2">
      <c r="C976" s="6"/>
    </row>
    <row r="977" spans="3:3" ht="12.75" x14ac:dyDescent="0.2">
      <c r="C977" s="6"/>
    </row>
    <row r="978" spans="3:3" ht="12.75" x14ac:dyDescent="0.2">
      <c r="C978" s="6"/>
    </row>
    <row r="979" spans="3:3" ht="12.75" x14ac:dyDescent="0.2">
      <c r="C979" s="6"/>
    </row>
    <row r="980" spans="3:3" ht="12.75" x14ac:dyDescent="0.2">
      <c r="C980" s="6"/>
    </row>
    <row r="981" spans="3:3" ht="12.75" x14ac:dyDescent="0.2">
      <c r="C981" s="6"/>
    </row>
    <row r="982" spans="3:3" ht="12.75" x14ac:dyDescent="0.2">
      <c r="C982" s="6"/>
    </row>
    <row r="983" spans="3:3" ht="12.75" x14ac:dyDescent="0.2">
      <c r="C983" s="6"/>
    </row>
    <row r="984" spans="3:3" ht="12.75" x14ac:dyDescent="0.2">
      <c r="C984" s="6"/>
    </row>
    <row r="985" spans="3:3" ht="12.75" x14ac:dyDescent="0.2">
      <c r="C985" s="6"/>
    </row>
    <row r="986" spans="3:3" ht="12.75" x14ac:dyDescent="0.2">
      <c r="C986" s="6"/>
    </row>
    <row r="987" spans="3:3" ht="12.75" x14ac:dyDescent="0.2">
      <c r="C987" s="6"/>
    </row>
    <row r="988" spans="3:3" ht="12.75" x14ac:dyDescent="0.2">
      <c r="C988" s="6"/>
    </row>
    <row r="989" spans="3:3" ht="12.75" x14ac:dyDescent="0.2">
      <c r="C989" s="6"/>
    </row>
    <row r="990" spans="3:3" ht="12.75" x14ac:dyDescent="0.2">
      <c r="C990" s="6"/>
    </row>
    <row r="991" spans="3:3" ht="12.75" x14ac:dyDescent="0.2">
      <c r="C991" s="6"/>
    </row>
    <row r="992" spans="3:3" ht="12.75" x14ac:dyDescent="0.2">
      <c r="C992" s="6"/>
    </row>
    <row r="993" spans="3:3" ht="12.75" x14ac:dyDescent="0.2">
      <c r="C993" s="6"/>
    </row>
    <row r="994" spans="3:3" ht="12.75" x14ac:dyDescent="0.2">
      <c r="C994" s="6"/>
    </row>
    <row r="995" spans="3:3" ht="12.75" x14ac:dyDescent="0.2">
      <c r="C995" s="6"/>
    </row>
    <row r="996" spans="3:3" ht="12.75" x14ac:dyDescent="0.2">
      <c r="C996" s="6"/>
    </row>
    <row r="997" spans="3:3" ht="12.75" x14ac:dyDescent="0.2">
      <c r="C997" s="6"/>
    </row>
    <row r="998" spans="3:3" ht="12.75" x14ac:dyDescent="0.2">
      <c r="C998" s="6"/>
    </row>
    <row r="999" spans="3:3" ht="12.75" x14ac:dyDescent="0.2">
      <c r="C999" s="6"/>
    </row>
    <row r="1000" spans="3:3" ht="12.75" x14ac:dyDescent="0.2">
      <c r="C1000" s="6"/>
    </row>
    <row r="1001" spans="3:3" ht="12.75" x14ac:dyDescent="0.2">
      <c r="C1001" s="6"/>
    </row>
    <row r="1002" spans="3:3" ht="12.75" x14ac:dyDescent="0.2">
      <c r="C1002" s="6"/>
    </row>
    <row r="1003" spans="3:3" ht="12.75" x14ac:dyDescent="0.2">
      <c r="C1003" s="6"/>
    </row>
    <row r="1004" spans="3:3" ht="12.75" x14ac:dyDescent="0.2">
      <c r="C1004" s="6"/>
    </row>
    <row r="1005" spans="3:3" ht="12.75" x14ac:dyDescent="0.2">
      <c r="C1005" s="6"/>
    </row>
    <row r="1006" spans="3:3" ht="12.75" x14ac:dyDescent="0.2">
      <c r="C1006" s="6"/>
    </row>
    <row r="1007" spans="3:3" ht="12.75" x14ac:dyDescent="0.2">
      <c r="C1007" s="6"/>
    </row>
    <row r="1008" spans="3:3" ht="12.75" x14ac:dyDescent="0.2">
      <c r="C1008" s="6"/>
    </row>
    <row r="1009" spans="3:3" ht="12.75" x14ac:dyDescent="0.2">
      <c r="C1009" s="6"/>
    </row>
    <row r="1010" spans="3:3" ht="12.75" x14ac:dyDescent="0.2">
      <c r="C1010" s="6"/>
    </row>
    <row r="1011" spans="3:3" ht="12.75" x14ac:dyDescent="0.2">
      <c r="C1011" s="6"/>
    </row>
    <row r="1012" spans="3:3" ht="12.75" x14ac:dyDescent="0.2">
      <c r="C1012" s="6"/>
    </row>
    <row r="1013" spans="3:3" ht="12.75" x14ac:dyDescent="0.2">
      <c r="C1013" s="6"/>
    </row>
    <row r="1014" spans="3:3" ht="12.75" x14ac:dyDescent="0.2">
      <c r="C1014" s="6"/>
    </row>
    <row r="1015" spans="3:3" ht="12.75" x14ac:dyDescent="0.2">
      <c r="C1015" s="6"/>
    </row>
    <row r="1016" spans="3:3" ht="12.75" x14ac:dyDescent="0.2">
      <c r="C1016" s="6"/>
    </row>
    <row r="1017" spans="3:3" ht="12.75" x14ac:dyDescent="0.2">
      <c r="C1017" s="6"/>
    </row>
    <row r="1018" spans="3:3" ht="12.75" x14ac:dyDescent="0.2">
      <c r="C1018" s="6"/>
    </row>
    <row r="1019" spans="3:3" ht="12.75" x14ac:dyDescent="0.2">
      <c r="C1019" s="6"/>
    </row>
    <row r="1020" spans="3:3" ht="12.75" x14ac:dyDescent="0.2">
      <c r="C1020" s="6"/>
    </row>
    <row r="1021" spans="3:3" ht="12.75" x14ac:dyDescent="0.2">
      <c r="C1021" s="6"/>
    </row>
    <row r="1022" spans="3:3" ht="12.75" x14ac:dyDescent="0.2">
      <c r="C1022" s="6"/>
    </row>
    <row r="1023" spans="3:3" ht="12.75" x14ac:dyDescent="0.2">
      <c r="C1023" s="6"/>
    </row>
    <row r="1024" spans="3:3" ht="12.75" x14ac:dyDescent="0.2">
      <c r="C1024" s="6"/>
    </row>
    <row r="1025" spans="3:3" ht="12.75" x14ac:dyDescent="0.2">
      <c r="C1025" s="6"/>
    </row>
    <row r="1026" spans="3:3" ht="12.75" x14ac:dyDescent="0.2">
      <c r="C1026" s="6"/>
    </row>
    <row r="1027" spans="3:3" ht="12.75" x14ac:dyDescent="0.2">
      <c r="C1027" s="6"/>
    </row>
    <row r="1028" spans="3:3" ht="12.75" x14ac:dyDescent="0.2">
      <c r="C1028" s="6"/>
    </row>
    <row r="1029" spans="3:3" ht="12.75" x14ac:dyDescent="0.2">
      <c r="C1029" s="6"/>
    </row>
    <row r="1030" spans="3:3" ht="12.75" x14ac:dyDescent="0.2">
      <c r="C1030" s="6"/>
    </row>
    <row r="1031" spans="3:3" ht="12.75" x14ac:dyDescent="0.2">
      <c r="C1031" s="6"/>
    </row>
    <row r="1032" spans="3:3" ht="12.75" x14ac:dyDescent="0.2">
      <c r="C1032" s="6"/>
    </row>
    <row r="1033" spans="3:3" ht="12.75" x14ac:dyDescent="0.2">
      <c r="C1033" s="6"/>
    </row>
    <row r="1034" spans="3:3" ht="12.75" x14ac:dyDescent="0.2">
      <c r="C1034" s="6"/>
    </row>
    <row r="1035" spans="3:3" ht="12.75" x14ac:dyDescent="0.2">
      <c r="C1035" s="6"/>
    </row>
    <row r="1036" spans="3:3" ht="12.75" x14ac:dyDescent="0.2">
      <c r="C1036" s="6"/>
    </row>
    <row r="1037" spans="3:3" ht="12.75" x14ac:dyDescent="0.2">
      <c r="C1037" s="6"/>
    </row>
    <row r="1038" spans="3:3" ht="12.75" x14ac:dyDescent="0.2">
      <c r="C1038" s="6"/>
    </row>
    <row r="1039" spans="3:3" ht="12.75" x14ac:dyDescent="0.2">
      <c r="C1039" s="6"/>
    </row>
    <row r="1040" spans="3:3" ht="12.75" x14ac:dyDescent="0.2">
      <c r="C1040" s="6"/>
    </row>
    <row r="1041" spans="3:3" ht="12.75" x14ac:dyDescent="0.2">
      <c r="C1041" s="6"/>
    </row>
    <row r="1042" spans="3:3" ht="12.75" x14ac:dyDescent="0.2">
      <c r="C1042" s="6"/>
    </row>
    <row r="1043" spans="3:3" ht="12.75" x14ac:dyDescent="0.2">
      <c r="C1043" s="6"/>
    </row>
    <row r="1044" spans="3:3" ht="12.75" x14ac:dyDescent="0.2">
      <c r="C1044" s="6"/>
    </row>
    <row r="1045" spans="3:3" ht="12.75" x14ac:dyDescent="0.2">
      <c r="C1045" s="6"/>
    </row>
    <row r="1046" spans="3:3" ht="12.75" x14ac:dyDescent="0.2">
      <c r="C1046" s="6"/>
    </row>
    <row r="1047" spans="3:3" ht="12.75" x14ac:dyDescent="0.2">
      <c r="C1047" s="6"/>
    </row>
    <row r="1048" spans="3:3" ht="12.75" x14ac:dyDescent="0.2">
      <c r="C1048" s="6"/>
    </row>
    <row r="1049" spans="3:3" ht="12.75" x14ac:dyDescent="0.2">
      <c r="C1049" s="6"/>
    </row>
    <row r="1050" spans="3:3" ht="12.75" x14ac:dyDescent="0.2">
      <c r="C1050" s="6"/>
    </row>
    <row r="1051" spans="3:3" ht="12.75" x14ac:dyDescent="0.2">
      <c r="C1051" s="6"/>
    </row>
    <row r="1052" spans="3:3" ht="12.75" x14ac:dyDescent="0.2">
      <c r="C1052" s="6"/>
    </row>
    <row r="1053" spans="3:3" ht="12.75" x14ac:dyDescent="0.2">
      <c r="C1053" s="6"/>
    </row>
    <row r="1054" spans="3:3" ht="12.75" x14ac:dyDescent="0.2">
      <c r="C1054" s="6"/>
    </row>
    <row r="1055" spans="3:3" ht="12.75" x14ac:dyDescent="0.2">
      <c r="C1055" s="6"/>
    </row>
    <row r="1056" spans="3:3" ht="12.75" x14ac:dyDescent="0.2">
      <c r="C1056" s="6"/>
    </row>
    <row r="1057" spans="3:3" ht="12.75" x14ac:dyDescent="0.2">
      <c r="C1057" s="6"/>
    </row>
    <row r="1058" spans="3:3" ht="12.75" x14ac:dyDescent="0.2">
      <c r="C1058" s="6"/>
    </row>
  </sheetData>
  <mergeCells count="5">
    <mergeCell ref="A1:D1"/>
    <mergeCell ref="A23:D23"/>
    <mergeCell ref="A46:D46"/>
    <mergeCell ref="A76:C76"/>
    <mergeCell ref="A100:D10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4"/>
  <sheetViews>
    <sheetView tabSelected="1" workbookViewId="0">
      <selection activeCell="D24" sqref="D24"/>
    </sheetView>
  </sheetViews>
  <sheetFormatPr defaultColWidth="12.5703125" defaultRowHeight="15.75" customHeight="1" x14ac:dyDescent="0.2"/>
  <cols>
    <col min="1" max="1" width="24.42578125" customWidth="1"/>
    <col min="3" max="3" width="28.85546875" customWidth="1"/>
    <col min="5" max="5" width="31" customWidth="1"/>
    <col min="7" max="7" width="28.7109375" customWidth="1"/>
  </cols>
  <sheetData>
    <row r="1" spans="1:8" ht="27" customHeight="1" x14ac:dyDescent="0.35">
      <c r="A1" s="24" t="s">
        <v>60</v>
      </c>
      <c r="B1" s="22"/>
      <c r="C1" s="22"/>
      <c r="D1" s="22"/>
      <c r="E1" s="22"/>
      <c r="F1" s="22"/>
      <c r="G1" s="22"/>
      <c r="H1" s="22"/>
    </row>
    <row r="3" spans="1:8" ht="12.75" x14ac:dyDescent="0.2">
      <c r="A3" s="16" t="s">
        <v>14</v>
      </c>
      <c r="C3" s="17" t="s">
        <v>17</v>
      </c>
      <c r="E3" s="17" t="s">
        <v>61</v>
      </c>
      <c r="G3" s="17" t="s">
        <v>24</v>
      </c>
    </row>
    <row r="4" spans="1:8" ht="20.25" x14ac:dyDescent="0.3">
      <c r="A4" s="18">
        <f>'KPI Summary'!B4</f>
        <v>250612.21509009998</v>
      </c>
      <c r="C4" s="19">
        <f>AVERAGE(global_water_consumption.csv!E1:E1000)</f>
        <v>50.180829405780045</v>
      </c>
      <c r="E4" s="19">
        <f>'KPI Summary'!B10</f>
        <v>2.5730370938079998</v>
      </c>
      <c r="G4" s="19">
        <v>18</v>
      </c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global_water_consumption.csv</vt:lpstr>
      <vt:lpstr>KPI Summary</vt:lpstr>
      <vt:lpstr>Pivot Table 1</vt:lpstr>
      <vt:lpstr>Analysis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Varsha Pandit</cp:lastModifiedBy>
  <dcterms:created xsi:type="dcterms:W3CDTF">2026-09-14T09:44:04Z</dcterms:created>
  <dcterms:modified xsi:type="dcterms:W3CDTF">2026-09-14T14:13:53Z</dcterms:modified>
</cp:coreProperties>
</file>