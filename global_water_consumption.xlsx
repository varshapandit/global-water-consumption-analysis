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_water_consumption.csv" sheetId="1" r:id="rId5"/>
    <sheet state="visible" name="KPI Summary" sheetId="2" r:id="rId6"/>
    <sheet state="visible" name="Pivot Table 1" sheetId="3" r:id="rId7"/>
    <sheet state="visible" name="Analysis Table" sheetId="4" r:id="rId8"/>
    <sheet state="visible" name="Dashboard" sheetId="5" r:id="rId9"/>
  </sheets>
  <definedNames/>
  <calcPr/>
</workbook>
</file>

<file path=xl/sharedStrings.xml><?xml version="1.0" encoding="utf-8"?>
<sst xmlns="http://schemas.openxmlformats.org/spreadsheetml/2006/main" count="1188" uniqueCount="78">
  <si>
    <t>Global Water Consumption - KPI Summary</t>
  </si>
  <si>
    <t>Country</t>
  </si>
  <si>
    <t>Country wise Total Water Consumption</t>
  </si>
  <si>
    <t>Year</t>
  </si>
  <si>
    <t>Total Water Consumption (Billion Cubic Meters)</t>
  </si>
  <si>
    <t>Per Capita Water Use (Liters per Day)</t>
  </si>
  <si>
    <t>Agricultural Water Use (%)</t>
  </si>
  <si>
    <t>Industrial Water Use (%)</t>
  </si>
  <si>
    <t>Household Water Use (%)</t>
  </si>
  <si>
    <t>Rainfall Impact  (Annual Precipitation in mm)</t>
  </si>
  <si>
    <t>Groundwater Depletion Rate (%)</t>
  </si>
  <si>
    <t>Water Scarcity Level</t>
  </si>
  <si>
    <t>KPI</t>
  </si>
  <si>
    <t>RESULT</t>
  </si>
  <si>
    <t>Total Water Consumption</t>
  </si>
  <si>
    <t>Argentina</t>
  </si>
  <si>
    <t>Moderate</t>
  </si>
  <si>
    <t>Average Per Capita Water Use</t>
  </si>
  <si>
    <t>Average Agricultural Water Use</t>
  </si>
  <si>
    <t>Average Industrial Water Use</t>
  </si>
  <si>
    <t>Average Household Water Use</t>
  </si>
  <si>
    <t>Average Annual Precipitation</t>
  </si>
  <si>
    <t xml:space="preserve"> </t>
  </si>
  <si>
    <t>Average groundwater depletion</t>
  </si>
  <si>
    <t>High Water Scarcity Records</t>
  </si>
  <si>
    <t>Low</t>
  </si>
  <si>
    <t>Australia</t>
  </si>
  <si>
    <t>Brazil</t>
  </si>
  <si>
    <t>High</t>
  </si>
  <si>
    <t>Canada</t>
  </si>
  <si>
    <t>China</t>
  </si>
  <si>
    <t>France</t>
  </si>
  <si>
    <t>Germany</t>
  </si>
  <si>
    <t>India</t>
  </si>
  <si>
    <t>Indonesia</t>
  </si>
  <si>
    <t>Italy</t>
  </si>
  <si>
    <t>Japan</t>
  </si>
  <si>
    <t>Mexico</t>
  </si>
  <si>
    <t>Russia</t>
  </si>
  <si>
    <t>Saudi Arabia</t>
  </si>
  <si>
    <t>South Africa</t>
  </si>
  <si>
    <t>South Korea</t>
  </si>
  <si>
    <t>GLOBAL WATER CONSUMPTION DASHBOARD</t>
  </si>
  <si>
    <t>Average Groundwater Depletion</t>
  </si>
  <si>
    <t>Spain</t>
  </si>
  <si>
    <t>Turkey</t>
  </si>
  <si>
    <t>UK</t>
  </si>
  <si>
    <t>1. Top 5 countries by total water consumption</t>
  </si>
  <si>
    <t>USA</t>
  </si>
  <si>
    <t>2. Bottom 5 countries by total water consumption</t>
  </si>
  <si>
    <t>3.Year-wise total water consumption</t>
  </si>
  <si>
    <t>YOY Change %</t>
  </si>
  <si>
    <t>4. Top 5 Countries by Per Capita Water Use</t>
  </si>
  <si>
    <t>Per Capita Water Use</t>
  </si>
  <si>
    <t>5. Top 5 Countries by Groundwater Depletion</t>
  </si>
  <si>
    <t>Groundwater Depletion</t>
  </si>
  <si>
    <t>Water Scarcity Distribution</t>
  </si>
  <si>
    <t>Water Scarcity level</t>
  </si>
  <si>
    <t>Count</t>
  </si>
  <si>
    <t>7. Sector wise Water Usage</t>
  </si>
  <si>
    <t>Sector</t>
  </si>
  <si>
    <t>Average Water Usage</t>
  </si>
  <si>
    <t>Agriculture</t>
  </si>
  <si>
    <t>Industrial</t>
  </si>
  <si>
    <t>Household</t>
  </si>
  <si>
    <t>SUM of Total Water Consumption (Billion Cubic Meters)</t>
  </si>
  <si>
    <t>Grand Total</t>
  </si>
  <si>
    <t>Year wise Water Consumption</t>
  </si>
  <si>
    <t>Country Wise Per Capta Water Use</t>
  </si>
  <si>
    <t>AVERAGE of Per Capita Water Use (Liters per Day)</t>
  </si>
  <si>
    <t>Year wise Groundwater Depletion</t>
  </si>
  <si>
    <t>AVERAGE of Groundwater Depletion Rate (%)</t>
  </si>
  <si>
    <t>Country wise Groundwater Depletion</t>
  </si>
  <si>
    <t>COUNTA of Country</t>
  </si>
  <si>
    <t>Water Use by Sector</t>
  </si>
  <si>
    <t>AVERAGE of Agricultural Water Use (%)</t>
  </si>
  <si>
    <t>AVERAGE of Industrial Water Use (%)</t>
  </si>
  <si>
    <t>AVERAGE of Household Water Use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</si>
</sst>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>
      <b/>
      <sz val="16.0"/>
      <color theme="1"/>
      <name val="Arial"/>
      <scheme val="minor"/>
    </font>
    <font>
      <sz val="12.0"/>
      <color theme="1"/>
      <name val="Arial"/>
      <scheme val="minor"/>
    </font>
    <font>
      <b/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shrinkToFit="0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Font="1"/>
    <xf borderId="0" fillId="0" fontId="4" numFmtId="0" xfId="0" applyAlignment="1" applyFont="1">
      <alignment horizontal="center"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5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4" fillId="0" fontId="5" numFmtId="0" xfId="0" applyAlignment="1" applyBorder="1" applyFont="1">
      <alignment horizontal="center" readingOrder="0"/>
    </xf>
    <xf borderId="0" fillId="0" fontId="3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0" fontId="3" numFmtId="2" xfId="0" applyFont="1" applyNumberFormat="1"/>
    <xf borderId="0" fillId="0" fontId="3" numFmtId="164" xfId="0" applyFont="1" applyNumberFormat="1"/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3" numFmtId="10" xfId="0" applyAlignment="1" applyFont="1" applyNumberFormat="1">
      <alignment horizontal="right"/>
    </xf>
    <xf borderId="0" fillId="0" fontId="1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3" numFmtId="2" xfId="0" applyAlignment="1" applyFont="1" applyNumberFormat="1">
      <alignment readingOrder="0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5 Countries by total Water Consumption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'Analysis Table'!$B$3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'Analysis Table'!$A$4:$A$8</c:f>
            </c:strRef>
          </c:cat>
          <c:val>
            <c:numRef>
              <c:f>'Analysis Table'!$B$4:$B$8</c:f>
              <c:numCache/>
            </c:numRef>
          </c:val>
        </c:ser>
        <c:ser>
          <c:idx val="1"/>
          <c:order val="1"/>
          <c:tx>
            <c:strRef>
              <c:f>'Analysis Table'!$B$3</c:f>
            </c:strRef>
          </c:tx>
          <c:cat>
            <c:strRef>
              <c:f>'Analysis Table'!$A$4:$A$8</c:f>
            </c:strRef>
          </c:cat>
          <c:val>
            <c:numRef>
              <c:f>'Analysis Table'!$B$4:$B$8</c:f>
              <c:numCache/>
            </c:numRef>
          </c:val>
        </c:ser>
        <c:axId val="1837440232"/>
        <c:axId val="582263453"/>
      </c:barChart>
      <c:catAx>
        <c:axId val="18374402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2263453"/>
      </c:catAx>
      <c:valAx>
        <c:axId val="58226345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744023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Bottom 5 Countries by Total Water Consumption 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'Analysis Table'!$B$25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'Analysis Table'!$A$26:$A$30</c:f>
            </c:strRef>
          </c:cat>
          <c:val>
            <c:numRef>
              <c:f>'Analysis Table'!$B$26:$B$30</c:f>
              <c:numCache/>
            </c:numRef>
          </c:val>
        </c:ser>
        <c:axId val="630038865"/>
        <c:axId val="609975451"/>
      </c:barChart>
      <c:catAx>
        <c:axId val="63003886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9975451"/>
      </c:catAx>
      <c:valAx>
        <c:axId val="60997545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Water Consumption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003886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Year-wise Total Water Consumption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'Analysis Table'!$B$48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'Analysis Table'!$A$49:$A$73</c:f>
            </c:strRef>
          </c:cat>
          <c:val>
            <c:numRef>
              <c:f>'Analysis Table'!$B$49:$B$73</c:f>
              <c:numCache/>
            </c:numRef>
          </c:val>
          <c:smooth val="0"/>
        </c:ser>
        <c:axId val="103395332"/>
        <c:axId val="436951878"/>
      </c:lineChart>
      <c:catAx>
        <c:axId val="1033953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6951878"/>
      </c:catAx>
      <c:valAx>
        <c:axId val="4369518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Water Consumption (Billion Cubic Meter)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3953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 Capita Water Use vs Country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'Analysis Table'!$B$78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'Analysis Table'!$A$79:$A$88</c:f>
            </c:strRef>
          </c:cat>
          <c:val>
            <c:numRef>
              <c:f>'Analysis Table'!$B$79:$B$88</c:f>
              <c:numCache/>
            </c:numRef>
          </c:val>
        </c:ser>
        <c:axId val="413196717"/>
        <c:axId val="1007251439"/>
      </c:barChart>
      <c:catAx>
        <c:axId val="41319671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7251439"/>
      </c:catAx>
      <c:valAx>
        <c:axId val="10072514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 Capita Water Use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319671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10 Countries by Groundwater Depletion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'Analysis Table'!$B$102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'Analysis Table'!$A$103:$A$112</c:f>
            </c:strRef>
          </c:cat>
          <c:val>
            <c:numRef>
              <c:f>'Analysis Table'!$B$103:$B$112</c:f>
              <c:numCache/>
            </c:numRef>
          </c:val>
        </c:ser>
        <c:axId val="2110272732"/>
        <c:axId val="773682082"/>
      </c:barChart>
      <c:catAx>
        <c:axId val="21102727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3682082"/>
      </c:catAx>
      <c:valAx>
        <c:axId val="7736820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Groundwater Depletion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027273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Water Scarcity Distribution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'Analysis Table'!$B$127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'Analysis Table'!$A$128:$A$130</c:f>
            </c:strRef>
          </c:cat>
          <c:val>
            <c:numRef>
              <c:f>'Analysis Table'!$B$128:$B$130</c:f>
              <c:numCache/>
            </c:numRef>
          </c:val>
        </c:ser>
        <c:axId val="1551508169"/>
        <c:axId val="813194907"/>
      </c:barChart>
      <c:catAx>
        <c:axId val="155150816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Water Scarcity 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3194907"/>
      </c:catAx>
      <c:valAx>
        <c:axId val="8131949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150816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Water Usage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'Analysis Table'!$B$149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'Analysis Table'!$A$150:$A$152</c:f>
            </c:strRef>
          </c:cat>
          <c:val>
            <c:numRef>
              <c:f>'Analysis Table'!$B$150:$B$152</c:f>
              <c:numCache/>
            </c:numRef>
          </c:val>
        </c:ser>
        <c:axId val="289521855"/>
        <c:axId val="98737547"/>
      </c:barChart>
      <c:catAx>
        <c:axId val="289521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Sector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737547"/>
      </c:catAx>
      <c:valAx>
        <c:axId val="987375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Water Usage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95218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5 Countries by total Water Consumption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'Analysis Table'!$B$3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'Analysis Table'!$A$4:$A$8</c:f>
            </c:strRef>
          </c:cat>
          <c:val>
            <c:numRef>
              <c:f>'Analysis Table'!$B$4:$B$8</c:f>
              <c:numCache/>
            </c:numRef>
          </c:val>
        </c:ser>
        <c:ser>
          <c:idx val="1"/>
          <c:order val="1"/>
          <c:tx>
            <c:strRef>
              <c:f>'Analysis Table'!$B$3</c:f>
            </c:strRef>
          </c:tx>
          <c:cat>
            <c:strRef>
              <c:f>'Analysis Table'!$A$4:$A$8</c:f>
            </c:strRef>
          </c:cat>
          <c:val>
            <c:numRef>
              <c:f>'Analysis Table'!$B$4:$B$8</c:f>
              <c:numCache/>
            </c:numRef>
          </c:val>
        </c:ser>
        <c:axId val="2069862780"/>
        <c:axId val="431195293"/>
      </c:barChart>
      <c:catAx>
        <c:axId val="206986278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1195293"/>
      </c:catAx>
      <c:valAx>
        <c:axId val="43119529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Water consumption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986278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Year-wise Total Water Consumption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'Analysis Table'!$B$48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'Analysis Table'!$A$49:$A$73</c:f>
            </c:strRef>
          </c:cat>
          <c:val>
            <c:numRef>
              <c:f>'Analysis Table'!$B$49:$B$73</c:f>
              <c:numCache/>
            </c:numRef>
          </c:val>
          <c:smooth val="0"/>
        </c:ser>
        <c:axId val="1524598344"/>
        <c:axId val="2037529805"/>
      </c:lineChart>
      <c:catAx>
        <c:axId val="1524598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7529805"/>
      </c:catAx>
      <c:valAx>
        <c:axId val="20375298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Water Consumption (Billion Cubic Meter)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45983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 Capita Water Use vs Country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'Analysis Table'!$B$78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'Analysis Table'!$A$79:$A$88</c:f>
            </c:strRef>
          </c:cat>
          <c:val>
            <c:numRef>
              <c:f>'Analysis Table'!$B$79:$B$88</c:f>
              <c:numCache/>
            </c:numRef>
          </c:val>
        </c:ser>
        <c:axId val="1944451748"/>
        <c:axId val="1775239966"/>
      </c:barChart>
      <c:catAx>
        <c:axId val="19444517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5239966"/>
      </c:catAx>
      <c:valAx>
        <c:axId val="177523996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 Capita Water Use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445174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10 Countries by Groundwater Depletion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'Analysis Table'!$B$102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'Analysis Table'!$A$103:$A$112</c:f>
            </c:strRef>
          </c:cat>
          <c:val>
            <c:numRef>
              <c:f>'Analysis Table'!$B$103:$B$112</c:f>
              <c:numCache/>
            </c:numRef>
          </c:val>
        </c:ser>
        <c:axId val="685477742"/>
        <c:axId val="877079543"/>
      </c:barChart>
      <c:catAx>
        <c:axId val="68547774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7079543"/>
      </c:catAx>
      <c:valAx>
        <c:axId val="87707954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Groundwater Depletion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547774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Water Scarcity Distribution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'Analysis Table'!$B$127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'Analysis Table'!$A$128:$A$130</c:f>
            </c:strRef>
          </c:cat>
          <c:val>
            <c:numRef>
              <c:f>'Analysis Table'!$B$128:$B$130</c:f>
              <c:numCache/>
            </c:numRef>
          </c:val>
        </c:ser>
        <c:axId val="1667149766"/>
        <c:axId val="1062798261"/>
      </c:barChart>
      <c:catAx>
        <c:axId val="166714976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Water Scarcity 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2798261"/>
      </c:catAx>
      <c:valAx>
        <c:axId val="10627982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714976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Relationship Id="rId5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295275</xdr:colOff>
      <xdr:row>0</xdr:row>
      <xdr:rowOff>228600</xdr:rowOff>
    </xdr:from>
    <xdr:ext cx="6096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295275</xdr:colOff>
      <xdr:row>22</xdr:row>
      <xdr:rowOff>228600</xdr:rowOff>
    </xdr:from>
    <xdr:ext cx="6096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285750</xdr:colOff>
      <xdr:row>52</xdr:row>
      <xdr:rowOff>76200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228600</xdr:colOff>
      <xdr:row>77</xdr:row>
      <xdr:rowOff>133350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285750</xdr:colOff>
      <xdr:row>100</xdr:row>
      <xdr:rowOff>114300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419100</xdr:colOff>
      <xdr:row>125</xdr:row>
      <xdr:rowOff>142875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4</xdr:col>
      <xdr:colOff>352425</xdr:colOff>
      <xdr:row>148</xdr:row>
      <xdr:rowOff>200025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6</xdr:row>
      <xdr:rowOff>9525</xdr:rowOff>
    </xdr:from>
    <xdr:ext cx="3790950" cy="21336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352425</xdr:colOff>
      <xdr:row>6</xdr:row>
      <xdr:rowOff>95250</xdr:rowOff>
    </xdr:from>
    <xdr:ext cx="4229100" cy="20478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247650</xdr:colOff>
      <xdr:row>18</xdr:row>
      <xdr:rowOff>180975</xdr:rowOff>
    </xdr:from>
    <xdr:ext cx="3790950" cy="20478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352425</xdr:colOff>
      <xdr:row>19</xdr:row>
      <xdr:rowOff>28575</xdr:rowOff>
    </xdr:from>
    <xdr:ext cx="4229100" cy="20002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</xdr:col>
      <xdr:colOff>609600</xdr:colOff>
      <xdr:row>32</xdr:row>
      <xdr:rowOff>0</xdr:rowOff>
    </xdr:from>
    <xdr:ext cx="4229100" cy="20002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1.38"/>
    <col customWidth="1" min="3" max="3" width="20.75"/>
    <col customWidth="1" min="4" max="4" width="20.38"/>
    <col customWidth="1" min="5" max="5" width="17.38"/>
    <col customWidth="1" min="6" max="6" width="15.38"/>
    <col customWidth="1" min="7" max="7" width="14.38"/>
    <col customWidth="1" min="8" max="8" width="21.25"/>
    <col customWidth="1" min="9" max="9" width="20.0"/>
    <col customWidth="1" min="10" max="10" width="13.0"/>
  </cols>
  <sheetData>
    <row r="1" ht="43.5" customHeight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4"/>
      <c r="L1" s="4"/>
      <c r="M1" s="1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15</v>
      </c>
      <c r="B2" s="6">
        <v>2000.0</v>
      </c>
      <c r="C2" s="6">
        <v>481.49</v>
      </c>
      <c r="D2" s="6">
        <v>235.4314286</v>
      </c>
      <c r="E2" s="6">
        <v>48.55</v>
      </c>
      <c r="F2" s="6">
        <v>20.84428571</v>
      </c>
      <c r="G2" s="6">
        <v>30.1</v>
      </c>
      <c r="H2" s="6">
        <v>1288.698571</v>
      </c>
      <c r="I2" s="6">
        <v>3.255714286</v>
      </c>
      <c r="J2" s="6" t="s">
        <v>16</v>
      </c>
    </row>
    <row r="3">
      <c r="A3" s="6" t="s">
        <v>15</v>
      </c>
      <c r="B3" s="6">
        <v>2001.0</v>
      </c>
      <c r="C3" s="6">
        <v>455.063</v>
      </c>
      <c r="D3" s="6">
        <v>299.551</v>
      </c>
      <c r="E3" s="6">
        <v>48.465</v>
      </c>
      <c r="F3" s="6">
        <v>26.943</v>
      </c>
      <c r="G3" s="6">
        <v>22.55</v>
      </c>
      <c r="H3" s="6">
        <v>1371.729</v>
      </c>
      <c r="I3" s="6">
        <v>3.12</v>
      </c>
      <c r="J3" s="6" t="s">
        <v>16</v>
      </c>
    </row>
    <row r="4">
      <c r="A4" s="6" t="s">
        <v>15</v>
      </c>
      <c r="B4" s="6">
        <v>2002.0</v>
      </c>
      <c r="C4" s="6">
        <v>482.7492308</v>
      </c>
      <c r="D4" s="6">
        <v>340.1246154</v>
      </c>
      <c r="E4" s="6">
        <v>50.37538462</v>
      </c>
      <c r="F4" s="6">
        <v>29.04230769</v>
      </c>
      <c r="G4" s="6">
        <v>23.34923077</v>
      </c>
      <c r="H4" s="6">
        <v>1590.305385</v>
      </c>
      <c r="I4" s="6">
        <v>2.733846154</v>
      </c>
      <c r="J4" s="6" t="s">
        <v>16</v>
      </c>
    </row>
    <row r="5">
      <c r="A5" s="6" t="s">
        <v>15</v>
      </c>
      <c r="B5" s="6">
        <v>2003.0</v>
      </c>
      <c r="C5" s="6">
        <v>452.66</v>
      </c>
      <c r="D5" s="6">
        <v>326.7566667</v>
      </c>
      <c r="E5" s="6">
        <v>49.08666667</v>
      </c>
      <c r="F5" s="6">
        <v>30.476</v>
      </c>
      <c r="G5" s="6">
        <v>24.44</v>
      </c>
      <c r="H5" s="6">
        <v>1816.012667</v>
      </c>
      <c r="I5" s="6">
        <v>2.708</v>
      </c>
      <c r="J5" s="6" t="s">
        <v>16</v>
      </c>
    </row>
    <row r="6">
      <c r="A6" s="6" t="s">
        <v>15</v>
      </c>
      <c r="B6" s="6">
        <v>2004.0</v>
      </c>
      <c r="C6" s="6">
        <v>634.566</v>
      </c>
      <c r="D6" s="6">
        <v>230.346</v>
      </c>
      <c r="E6" s="6">
        <v>38.67</v>
      </c>
      <c r="F6" s="6">
        <v>36.67</v>
      </c>
      <c r="G6" s="6">
        <v>23.924</v>
      </c>
      <c r="H6" s="6">
        <v>815.998</v>
      </c>
      <c r="I6" s="6">
        <v>1.902</v>
      </c>
      <c r="J6" s="6" t="s">
        <v>16</v>
      </c>
    </row>
    <row r="7">
      <c r="A7" s="6" t="s">
        <v>15</v>
      </c>
      <c r="B7" s="6">
        <v>2005.0</v>
      </c>
      <c r="C7" s="6">
        <v>458.077</v>
      </c>
      <c r="D7" s="6">
        <v>265.012</v>
      </c>
      <c r="E7" s="6">
        <v>59.834</v>
      </c>
      <c r="F7" s="6">
        <v>29.288</v>
      </c>
      <c r="G7" s="6">
        <v>22.649</v>
      </c>
      <c r="H7" s="6">
        <v>1826.293</v>
      </c>
      <c r="I7" s="6">
        <v>2.724</v>
      </c>
      <c r="J7" s="6" t="s">
        <v>16</v>
      </c>
    </row>
    <row r="8">
      <c r="A8" s="6" t="s">
        <v>15</v>
      </c>
      <c r="B8" s="6">
        <v>2006.0</v>
      </c>
      <c r="C8" s="6">
        <v>452.9833333</v>
      </c>
      <c r="D8" s="6">
        <v>111.7083333</v>
      </c>
      <c r="E8" s="6">
        <v>54.96166667</v>
      </c>
      <c r="F8" s="6">
        <v>29.79166667</v>
      </c>
      <c r="G8" s="6">
        <v>28.83166667</v>
      </c>
      <c r="H8" s="6">
        <v>1318.923333</v>
      </c>
      <c r="I8" s="6">
        <v>3.133333333</v>
      </c>
      <c r="J8" s="6" t="s">
        <v>16</v>
      </c>
    </row>
    <row r="9">
      <c r="A9" s="6" t="s">
        <v>15</v>
      </c>
      <c r="B9" s="6">
        <v>2007.0</v>
      </c>
      <c r="C9" s="6">
        <v>691.1025</v>
      </c>
      <c r="D9" s="6">
        <v>192.815</v>
      </c>
      <c r="E9" s="6">
        <v>41.655</v>
      </c>
      <c r="F9" s="6">
        <v>16.705</v>
      </c>
      <c r="G9" s="6">
        <v>20.31</v>
      </c>
      <c r="H9" s="6">
        <v>1500.8375</v>
      </c>
      <c r="I9" s="6">
        <v>3.5</v>
      </c>
      <c r="J9" s="6" t="s">
        <v>16</v>
      </c>
    </row>
    <row r="10">
      <c r="A10" s="6" t="s">
        <v>15</v>
      </c>
      <c r="B10" s="6">
        <v>2008.0</v>
      </c>
      <c r="C10" s="6">
        <v>494.048</v>
      </c>
      <c r="D10" s="6">
        <v>230.443</v>
      </c>
      <c r="E10" s="6">
        <v>60.323</v>
      </c>
      <c r="F10" s="6">
        <v>24.483</v>
      </c>
      <c r="G10" s="6">
        <v>24.21</v>
      </c>
      <c r="H10" s="6">
        <v>1378.952</v>
      </c>
      <c r="I10" s="6">
        <v>3.006</v>
      </c>
      <c r="J10" s="6" t="s">
        <v>16</v>
      </c>
    </row>
    <row r="11">
      <c r="A11" s="6" t="s">
        <v>15</v>
      </c>
      <c r="B11" s="6">
        <v>2009.0</v>
      </c>
      <c r="C11" s="6">
        <v>637.8783333</v>
      </c>
      <c r="D11" s="6">
        <v>230.6816667</v>
      </c>
      <c r="E11" s="6">
        <v>54.91666667</v>
      </c>
      <c r="F11" s="6">
        <v>29.05166667</v>
      </c>
      <c r="G11" s="6">
        <v>21.21166667</v>
      </c>
      <c r="H11" s="6">
        <v>1141.906667</v>
      </c>
      <c r="I11" s="6">
        <v>2.356666667</v>
      </c>
      <c r="J11" s="6" t="s">
        <v>16</v>
      </c>
    </row>
    <row r="12">
      <c r="A12" s="6" t="s">
        <v>15</v>
      </c>
      <c r="B12" s="6">
        <v>2010.0</v>
      </c>
      <c r="C12" s="6">
        <v>502.875</v>
      </c>
      <c r="D12" s="6">
        <v>216.807</v>
      </c>
      <c r="E12" s="6">
        <v>49.325</v>
      </c>
      <c r="F12" s="6">
        <v>23.932</v>
      </c>
      <c r="G12" s="6">
        <v>25.208</v>
      </c>
      <c r="H12" s="6">
        <v>1496.221</v>
      </c>
      <c r="I12" s="6">
        <v>2.671</v>
      </c>
      <c r="J12" s="6" t="s">
        <v>16</v>
      </c>
    </row>
    <row r="13">
      <c r="A13" s="6" t="s">
        <v>15</v>
      </c>
      <c r="B13" s="6">
        <v>2011.0</v>
      </c>
      <c r="C13" s="6">
        <v>535.336875</v>
      </c>
      <c r="D13" s="6">
        <v>317.69375</v>
      </c>
      <c r="E13" s="6">
        <v>44.3875</v>
      </c>
      <c r="F13" s="6">
        <v>29.1575</v>
      </c>
      <c r="G13" s="6">
        <v>22.778125</v>
      </c>
      <c r="H13" s="6">
        <v>1814.865625</v>
      </c>
      <c r="I13" s="6">
        <v>2.955625</v>
      </c>
      <c r="J13" s="6" t="s">
        <v>16</v>
      </c>
    </row>
    <row r="14">
      <c r="A14" s="6" t="s">
        <v>15</v>
      </c>
      <c r="B14" s="6">
        <v>2012.0</v>
      </c>
      <c r="C14" s="6">
        <v>556.4116667</v>
      </c>
      <c r="D14" s="6">
        <v>248.72</v>
      </c>
      <c r="E14" s="6">
        <v>60.31166667</v>
      </c>
      <c r="F14" s="6">
        <v>31.94166667</v>
      </c>
      <c r="G14" s="6">
        <v>23.425</v>
      </c>
      <c r="H14" s="6">
        <v>1428.521667</v>
      </c>
      <c r="I14" s="6">
        <v>2.563333333</v>
      </c>
      <c r="J14" s="6" t="s">
        <v>16</v>
      </c>
    </row>
    <row r="15">
      <c r="A15" s="6" t="s">
        <v>15</v>
      </c>
      <c r="B15" s="6">
        <v>2013.0</v>
      </c>
      <c r="C15" s="6">
        <v>505.6286667</v>
      </c>
      <c r="D15" s="6">
        <v>265.718</v>
      </c>
      <c r="E15" s="6">
        <v>48.59933333</v>
      </c>
      <c r="F15" s="6">
        <v>32.004</v>
      </c>
      <c r="G15" s="6">
        <v>26.01466667</v>
      </c>
      <c r="H15" s="6">
        <v>1375.516</v>
      </c>
      <c r="I15" s="6">
        <v>3.154</v>
      </c>
      <c r="J15" s="6" t="s">
        <v>16</v>
      </c>
    </row>
    <row r="16">
      <c r="A16" s="6" t="s">
        <v>15</v>
      </c>
      <c r="B16" s="6">
        <v>2014.0</v>
      </c>
      <c r="C16" s="6">
        <v>558.1611111</v>
      </c>
      <c r="D16" s="6">
        <v>314.2377778</v>
      </c>
      <c r="E16" s="6">
        <v>50.90888889</v>
      </c>
      <c r="F16" s="6">
        <v>24.63111111</v>
      </c>
      <c r="G16" s="6">
        <v>25.77444444</v>
      </c>
      <c r="H16" s="6">
        <v>1912.69</v>
      </c>
      <c r="I16" s="6">
        <v>2.444444444</v>
      </c>
      <c r="J16" s="6" t="s">
        <v>16</v>
      </c>
      <c r="K16" s="6" t="s">
        <v>22</v>
      </c>
    </row>
    <row r="17">
      <c r="A17" s="6" t="s">
        <v>15</v>
      </c>
      <c r="B17" s="6">
        <v>2015.0</v>
      </c>
      <c r="C17" s="6">
        <v>565.115</v>
      </c>
      <c r="D17" s="6">
        <v>288.1383333</v>
      </c>
      <c r="E17" s="6">
        <v>49.5</v>
      </c>
      <c r="F17" s="6">
        <v>22.815</v>
      </c>
      <c r="G17" s="6">
        <v>28.52666667</v>
      </c>
      <c r="H17" s="6">
        <v>1782.6</v>
      </c>
      <c r="I17" s="6">
        <v>2.616666667</v>
      </c>
      <c r="J17" s="6" t="s">
        <v>16</v>
      </c>
    </row>
    <row r="18">
      <c r="A18" s="6" t="s">
        <v>15</v>
      </c>
      <c r="B18" s="6">
        <v>2016.0</v>
      </c>
      <c r="C18" s="6">
        <v>467.3180952</v>
      </c>
      <c r="D18" s="6">
        <v>322.0538095</v>
      </c>
      <c r="E18" s="6">
        <v>49.36190476</v>
      </c>
      <c r="F18" s="6">
        <v>28.40238095</v>
      </c>
      <c r="G18" s="6">
        <v>22.30761905</v>
      </c>
      <c r="H18" s="6">
        <v>1730.01</v>
      </c>
      <c r="I18" s="6">
        <v>2.642857143</v>
      </c>
      <c r="J18" s="6" t="s">
        <v>16</v>
      </c>
    </row>
    <row r="19">
      <c r="A19" s="6" t="s">
        <v>15</v>
      </c>
      <c r="B19" s="6">
        <v>2017.0</v>
      </c>
      <c r="C19" s="6">
        <v>477.1978947</v>
      </c>
      <c r="D19" s="6">
        <v>265.23</v>
      </c>
      <c r="E19" s="6">
        <v>56.49263158</v>
      </c>
      <c r="F19" s="6">
        <v>29.68</v>
      </c>
      <c r="G19" s="6">
        <v>24.35473684</v>
      </c>
      <c r="H19" s="6">
        <v>1665.009474</v>
      </c>
      <c r="I19" s="6">
        <v>2.666315789</v>
      </c>
      <c r="J19" s="6" t="s">
        <v>16</v>
      </c>
    </row>
    <row r="20">
      <c r="A20" s="6" t="s">
        <v>15</v>
      </c>
      <c r="B20" s="6">
        <v>2018.0</v>
      </c>
      <c r="C20" s="6">
        <v>649.13</v>
      </c>
      <c r="D20" s="6">
        <v>281.832</v>
      </c>
      <c r="E20" s="6">
        <v>54.83</v>
      </c>
      <c r="F20" s="6">
        <v>21.261</v>
      </c>
      <c r="G20" s="6">
        <v>25.314</v>
      </c>
      <c r="H20" s="6">
        <v>1449.102</v>
      </c>
      <c r="I20" s="6">
        <v>2.264</v>
      </c>
      <c r="J20" s="6" t="s">
        <v>16</v>
      </c>
    </row>
    <row r="21">
      <c r="A21" s="6" t="s">
        <v>15</v>
      </c>
      <c r="B21" s="6">
        <v>2019.0</v>
      </c>
      <c r="C21" s="6">
        <v>484.1566667</v>
      </c>
      <c r="D21" s="6">
        <v>268.4022222</v>
      </c>
      <c r="E21" s="6">
        <v>55.63555556</v>
      </c>
      <c r="F21" s="6">
        <v>34.48444444</v>
      </c>
      <c r="G21" s="6">
        <v>26.71888889</v>
      </c>
      <c r="H21" s="6">
        <v>1630.764444</v>
      </c>
      <c r="I21" s="6">
        <v>2.208888889</v>
      </c>
      <c r="J21" s="6" t="s">
        <v>16</v>
      </c>
    </row>
    <row r="22">
      <c r="A22" s="6" t="s">
        <v>15</v>
      </c>
      <c r="B22" s="6">
        <v>2020.0</v>
      </c>
      <c r="C22" s="6">
        <v>582.008</v>
      </c>
      <c r="D22" s="6">
        <v>289.554</v>
      </c>
      <c r="E22" s="6">
        <v>66.52</v>
      </c>
      <c r="F22" s="6">
        <v>28.876</v>
      </c>
      <c r="G22" s="6">
        <v>29.846</v>
      </c>
      <c r="H22" s="6">
        <v>1455.684</v>
      </c>
      <c r="I22" s="6">
        <v>2.092</v>
      </c>
      <c r="J22" s="6" t="s">
        <v>16</v>
      </c>
    </row>
    <row r="23">
      <c r="A23" s="6" t="s">
        <v>15</v>
      </c>
      <c r="B23" s="6">
        <v>2021.0</v>
      </c>
      <c r="C23" s="6">
        <v>432.4683333</v>
      </c>
      <c r="D23" s="6">
        <v>260.575</v>
      </c>
      <c r="E23" s="6">
        <v>52.6775</v>
      </c>
      <c r="F23" s="6">
        <v>29.44083333</v>
      </c>
      <c r="G23" s="6">
        <v>22.13</v>
      </c>
      <c r="H23" s="6">
        <v>2076.763333</v>
      </c>
      <c r="I23" s="6">
        <v>2.673333333</v>
      </c>
      <c r="J23" s="6" t="s">
        <v>16</v>
      </c>
    </row>
    <row r="24">
      <c r="A24" s="6" t="s">
        <v>15</v>
      </c>
      <c r="B24" s="6">
        <v>2022.0</v>
      </c>
      <c r="C24" s="6">
        <v>523.8810526</v>
      </c>
      <c r="D24" s="6">
        <v>296.7405263</v>
      </c>
      <c r="E24" s="6">
        <v>48.51842105</v>
      </c>
      <c r="F24" s="6">
        <v>28.50631579</v>
      </c>
      <c r="G24" s="6">
        <v>28.09473684</v>
      </c>
      <c r="H24" s="6">
        <v>1160.576316</v>
      </c>
      <c r="I24" s="6">
        <v>3.015789474</v>
      </c>
      <c r="J24" s="6" t="s">
        <v>16</v>
      </c>
    </row>
    <row r="25">
      <c r="A25" s="6" t="s">
        <v>15</v>
      </c>
      <c r="B25" s="6">
        <v>2023.0</v>
      </c>
      <c r="C25" s="6">
        <v>556.765</v>
      </c>
      <c r="D25" s="6">
        <v>265.325</v>
      </c>
      <c r="E25" s="6">
        <v>40.842</v>
      </c>
      <c r="F25" s="6">
        <v>26.099</v>
      </c>
      <c r="G25" s="6">
        <v>29.272</v>
      </c>
      <c r="H25" s="6">
        <v>1701.795</v>
      </c>
      <c r="I25" s="6">
        <v>2.13</v>
      </c>
      <c r="J25" s="6" t="s">
        <v>16</v>
      </c>
    </row>
    <row r="26">
      <c r="A26" s="6" t="s">
        <v>15</v>
      </c>
      <c r="B26" s="6">
        <v>2024.0</v>
      </c>
      <c r="C26" s="6">
        <v>647.79</v>
      </c>
      <c r="D26" s="6">
        <v>364.3828571</v>
      </c>
      <c r="E26" s="6">
        <v>51.20142857</v>
      </c>
      <c r="F26" s="6">
        <v>34.14285714</v>
      </c>
      <c r="G26" s="6">
        <v>23.52285714</v>
      </c>
      <c r="H26" s="6">
        <v>2283.157143</v>
      </c>
      <c r="I26" s="6">
        <v>2.285714286</v>
      </c>
      <c r="J26" s="6" t="s">
        <v>25</v>
      </c>
    </row>
    <row r="27">
      <c r="A27" s="6" t="s">
        <v>26</v>
      </c>
      <c r="B27" s="6">
        <v>2000.0</v>
      </c>
      <c r="C27" s="6">
        <v>545.04</v>
      </c>
      <c r="D27" s="6">
        <v>296.13</v>
      </c>
      <c r="E27" s="6">
        <v>54.66375</v>
      </c>
      <c r="F27" s="6">
        <v>32.665</v>
      </c>
      <c r="G27" s="6">
        <v>21.75625</v>
      </c>
      <c r="H27" s="6">
        <v>1549.73125</v>
      </c>
      <c r="I27" s="6">
        <v>2.36625</v>
      </c>
      <c r="J27" s="6" t="s">
        <v>16</v>
      </c>
    </row>
    <row r="28">
      <c r="A28" s="6" t="s">
        <v>26</v>
      </c>
      <c r="B28" s="6">
        <v>2001.0</v>
      </c>
      <c r="C28" s="6">
        <v>448.229</v>
      </c>
      <c r="D28" s="6">
        <v>247.556</v>
      </c>
      <c r="E28" s="6">
        <v>46.922</v>
      </c>
      <c r="F28" s="6">
        <v>23.326</v>
      </c>
      <c r="G28" s="6">
        <v>26.132</v>
      </c>
      <c r="H28" s="6">
        <v>1554.3</v>
      </c>
      <c r="I28" s="6">
        <v>2.698</v>
      </c>
      <c r="J28" s="6" t="s">
        <v>16</v>
      </c>
    </row>
    <row r="29">
      <c r="A29" s="6" t="s">
        <v>26</v>
      </c>
      <c r="B29" s="6">
        <v>2002.0</v>
      </c>
      <c r="C29" s="6">
        <v>488.0033333</v>
      </c>
      <c r="D29" s="6">
        <v>236.6966667</v>
      </c>
      <c r="E29" s="6">
        <v>58.88666667</v>
      </c>
      <c r="F29" s="6">
        <v>25.145</v>
      </c>
      <c r="G29" s="6">
        <v>26.34166667</v>
      </c>
      <c r="H29" s="6">
        <v>1457.325</v>
      </c>
      <c r="I29" s="6">
        <v>2.206666667</v>
      </c>
      <c r="J29" s="6" t="s">
        <v>16</v>
      </c>
    </row>
    <row r="30">
      <c r="A30" s="6" t="s">
        <v>26</v>
      </c>
      <c r="B30" s="6">
        <v>2003.0</v>
      </c>
      <c r="C30" s="6">
        <v>540.81</v>
      </c>
      <c r="D30" s="6">
        <v>275.3416667</v>
      </c>
      <c r="E30" s="6">
        <v>48.9825</v>
      </c>
      <c r="F30" s="6">
        <v>32.625</v>
      </c>
      <c r="G30" s="6">
        <v>23.8275</v>
      </c>
      <c r="H30" s="6">
        <v>1721.613333</v>
      </c>
      <c r="I30" s="6">
        <v>3.324166667</v>
      </c>
      <c r="J30" s="6" t="s">
        <v>16</v>
      </c>
    </row>
    <row r="31">
      <c r="A31" s="6" t="s">
        <v>26</v>
      </c>
      <c r="B31" s="6">
        <v>2004.0</v>
      </c>
      <c r="C31" s="6">
        <v>503.8664286</v>
      </c>
      <c r="D31" s="6">
        <v>261.0157143</v>
      </c>
      <c r="E31" s="6">
        <v>51.07142857</v>
      </c>
      <c r="F31" s="6">
        <v>27.65071429</v>
      </c>
      <c r="G31" s="6">
        <v>26.55857143</v>
      </c>
      <c r="H31" s="6">
        <v>1931.437143</v>
      </c>
      <c r="I31" s="6">
        <v>2.214285714</v>
      </c>
      <c r="J31" s="6" t="s">
        <v>16</v>
      </c>
    </row>
    <row r="32">
      <c r="A32" s="6" t="s">
        <v>26</v>
      </c>
      <c r="B32" s="6">
        <v>2005.0</v>
      </c>
      <c r="C32" s="6">
        <v>503.61</v>
      </c>
      <c r="D32" s="6">
        <v>255.9045455</v>
      </c>
      <c r="E32" s="6">
        <v>53.11545455</v>
      </c>
      <c r="F32" s="6">
        <v>30.74727273</v>
      </c>
      <c r="G32" s="6">
        <v>22.64363636</v>
      </c>
      <c r="H32" s="6">
        <v>1392.708182</v>
      </c>
      <c r="I32" s="6">
        <v>2.252727273</v>
      </c>
      <c r="J32" s="6" t="s">
        <v>16</v>
      </c>
    </row>
    <row r="33">
      <c r="A33" s="6" t="s">
        <v>26</v>
      </c>
      <c r="B33" s="6">
        <v>2006.0</v>
      </c>
      <c r="C33" s="6">
        <v>438.3757143</v>
      </c>
      <c r="D33" s="6">
        <v>279.7478571</v>
      </c>
      <c r="E33" s="6">
        <v>48.02642857</v>
      </c>
      <c r="F33" s="6">
        <v>32.05928571</v>
      </c>
      <c r="G33" s="6">
        <v>26.485</v>
      </c>
      <c r="H33" s="6">
        <v>1300.371429</v>
      </c>
      <c r="I33" s="6">
        <v>2.282857143</v>
      </c>
      <c r="J33" s="6" t="s">
        <v>16</v>
      </c>
    </row>
    <row r="34">
      <c r="A34" s="6" t="s">
        <v>26</v>
      </c>
      <c r="B34" s="6">
        <v>2007.0</v>
      </c>
      <c r="C34" s="6">
        <v>376.92375</v>
      </c>
      <c r="D34" s="6">
        <v>228.62125</v>
      </c>
      <c r="E34" s="6">
        <v>53.56125</v>
      </c>
      <c r="F34" s="6">
        <v>27.13625</v>
      </c>
      <c r="G34" s="6">
        <v>29.6725</v>
      </c>
      <c r="H34" s="6">
        <v>1529.41</v>
      </c>
      <c r="I34" s="6">
        <v>3.19875</v>
      </c>
      <c r="J34" s="6" t="s">
        <v>16</v>
      </c>
    </row>
    <row r="35">
      <c r="A35" s="6" t="s">
        <v>26</v>
      </c>
      <c r="B35" s="6">
        <v>2008.0</v>
      </c>
      <c r="C35" s="6">
        <v>511.38</v>
      </c>
      <c r="D35" s="6">
        <v>238.47</v>
      </c>
      <c r="E35" s="6">
        <v>55.68461538</v>
      </c>
      <c r="F35" s="6">
        <v>23.33230769</v>
      </c>
      <c r="G35" s="6">
        <v>26.02846154</v>
      </c>
      <c r="H35" s="6">
        <v>1611.926923</v>
      </c>
      <c r="I35" s="6">
        <v>2.011538462</v>
      </c>
      <c r="J35" s="6" t="s">
        <v>16</v>
      </c>
    </row>
    <row r="36">
      <c r="A36" s="6" t="s">
        <v>26</v>
      </c>
      <c r="B36" s="6">
        <v>2009.0</v>
      </c>
      <c r="C36" s="6">
        <v>442.79875</v>
      </c>
      <c r="D36" s="6">
        <v>258.61625</v>
      </c>
      <c r="E36" s="6">
        <v>47.38875</v>
      </c>
      <c r="F36" s="6">
        <v>25.6975</v>
      </c>
      <c r="G36" s="6">
        <v>26.46625</v>
      </c>
      <c r="H36" s="6">
        <v>980.3125</v>
      </c>
      <c r="I36" s="6">
        <v>2.75375</v>
      </c>
      <c r="J36" s="6" t="s">
        <v>16</v>
      </c>
    </row>
    <row r="37">
      <c r="A37" s="6" t="s">
        <v>26</v>
      </c>
      <c r="B37" s="6">
        <v>2010.0</v>
      </c>
      <c r="C37" s="6">
        <v>556.146</v>
      </c>
      <c r="D37" s="6">
        <v>235.882</v>
      </c>
      <c r="E37" s="6">
        <v>43.208</v>
      </c>
      <c r="F37" s="6">
        <v>25.952</v>
      </c>
      <c r="G37" s="6">
        <v>27.277</v>
      </c>
      <c r="H37" s="6">
        <v>1605.123</v>
      </c>
      <c r="I37" s="6">
        <v>3.443</v>
      </c>
      <c r="J37" s="6" t="s">
        <v>16</v>
      </c>
    </row>
    <row r="38">
      <c r="A38" s="6" t="s">
        <v>26</v>
      </c>
      <c r="B38" s="6">
        <v>2011.0</v>
      </c>
      <c r="C38" s="6">
        <v>467.7744444</v>
      </c>
      <c r="D38" s="6">
        <v>281.5111111</v>
      </c>
      <c r="E38" s="6">
        <v>52.68222222</v>
      </c>
      <c r="F38" s="6">
        <v>30.69777778</v>
      </c>
      <c r="G38" s="6">
        <v>22.74777778</v>
      </c>
      <c r="H38" s="6">
        <v>1955.788889</v>
      </c>
      <c r="I38" s="6">
        <v>2.916666667</v>
      </c>
      <c r="J38" s="6" t="s">
        <v>16</v>
      </c>
    </row>
    <row r="39">
      <c r="A39" s="6" t="s">
        <v>26</v>
      </c>
      <c r="B39" s="6">
        <v>2012.0</v>
      </c>
      <c r="C39" s="6">
        <v>498.1664706</v>
      </c>
      <c r="D39" s="6">
        <v>265.8988235</v>
      </c>
      <c r="E39" s="6">
        <v>55.87176471</v>
      </c>
      <c r="F39" s="6">
        <v>26.75352941</v>
      </c>
      <c r="G39" s="6">
        <v>24.42</v>
      </c>
      <c r="H39" s="6">
        <v>1286.410588</v>
      </c>
      <c r="I39" s="6">
        <v>2.429411765</v>
      </c>
      <c r="J39" s="6" t="s">
        <v>16</v>
      </c>
    </row>
    <row r="40">
      <c r="A40" s="6" t="s">
        <v>26</v>
      </c>
      <c r="B40" s="6">
        <v>2013.0</v>
      </c>
      <c r="C40" s="6">
        <v>426.5841667</v>
      </c>
      <c r="D40" s="6">
        <v>258.6558333</v>
      </c>
      <c r="E40" s="6">
        <v>53.82833333</v>
      </c>
      <c r="F40" s="6">
        <v>32.01416667</v>
      </c>
      <c r="G40" s="6">
        <v>20.19083333</v>
      </c>
      <c r="H40" s="6">
        <v>1619.6325</v>
      </c>
      <c r="I40" s="6">
        <v>2.85</v>
      </c>
      <c r="J40" s="6" t="s">
        <v>16</v>
      </c>
    </row>
    <row r="41">
      <c r="A41" s="6" t="s">
        <v>26</v>
      </c>
      <c r="B41" s="6">
        <v>2014.0</v>
      </c>
      <c r="C41" s="6">
        <v>538.1064286</v>
      </c>
      <c r="D41" s="6">
        <v>290.0314286</v>
      </c>
      <c r="E41" s="6">
        <v>60.51285714</v>
      </c>
      <c r="F41" s="6">
        <v>28.47571429</v>
      </c>
      <c r="G41" s="6">
        <v>22.62214286</v>
      </c>
      <c r="H41" s="6">
        <v>1414.902857</v>
      </c>
      <c r="I41" s="6">
        <v>2.522857143</v>
      </c>
      <c r="J41" s="6" t="s">
        <v>16</v>
      </c>
    </row>
    <row r="42">
      <c r="A42" s="6" t="s">
        <v>26</v>
      </c>
      <c r="B42" s="6">
        <v>2015.0</v>
      </c>
      <c r="C42" s="6">
        <v>521.4066667</v>
      </c>
      <c r="D42" s="6">
        <v>286.9333333</v>
      </c>
      <c r="E42" s="6">
        <v>65.12444444</v>
      </c>
      <c r="F42" s="6">
        <v>32.24444444</v>
      </c>
      <c r="G42" s="6">
        <v>24.15111111</v>
      </c>
      <c r="H42" s="6">
        <v>1394.204444</v>
      </c>
      <c r="I42" s="6">
        <v>3.284444444</v>
      </c>
      <c r="J42" s="6" t="s">
        <v>16</v>
      </c>
    </row>
    <row r="43">
      <c r="A43" s="6" t="s">
        <v>26</v>
      </c>
      <c r="B43" s="6">
        <v>2016.0</v>
      </c>
      <c r="C43" s="6">
        <v>446.722</v>
      </c>
      <c r="D43" s="6">
        <v>261.3993333</v>
      </c>
      <c r="E43" s="6">
        <v>59.50533333</v>
      </c>
      <c r="F43" s="6">
        <v>25.97133333</v>
      </c>
      <c r="G43" s="6">
        <v>23.10933333</v>
      </c>
      <c r="H43" s="6">
        <v>1370.126</v>
      </c>
      <c r="I43" s="6">
        <v>2.992</v>
      </c>
      <c r="J43" s="6" t="s">
        <v>16</v>
      </c>
    </row>
    <row r="44">
      <c r="A44" s="6" t="s">
        <v>26</v>
      </c>
      <c r="B44" s="6">
        <v>2017.0</v>
      </c>
      <c r="C44" s="6">
        <v>626.71625</v>
      </c>
      <c r="D44" s="6">
        <v>314.8475</v>
      </c>
      <c r="E44" s="6">
        <v>55.92</v>
      </c>
      <c r="F44" s="6">
        <v>31.86375</v>
      </c>
      <c r="G44" s="6">
        <v>24.64375</v>
      </c>
      <c r="H44" s="6">
        <v>1009.385</v>
      </c>
      <c r="I44" s="6">
        <v>2.37375</v>
      </c>
      <c r="J44" s="6" t="s">
        <v>25</v>
      </c>
    </row>
    <row r="45">
      <c r="A45" s="6" t="s">
        <v>26</v>
      </c>
      <c r="B45" s="6">
        <v>2018.0</v>
      </c>
      <c r="C45" s="6">
        <v>603.2993333</v>
      </c>
      <c r="D45" s="6">
        <v>288.7166667</v>
      </c>
      <c r="E45" s="6">
        <v>56.09066667</v>
      </c>
      <c r="F45" s="6">
        <v>34.11</v>
      </c>
      <c r="G45" s="6">
        <v>25.41866667</v>
      </c>
      <c r="H45" s="6">
        <v>1299.113333</v>
      </c>
      <c r="I45" s="6">
        <v>2.625333333</v>
      </c>
      <c r="J45" s="6" t="s">
        <v>16</v>
      </c>
    </row>
    <row r="46">
      <c r="A46" s="6" t="s">
        <v>26</v>
      </c>
      <c r="B46" s="6">
        <v>2019.0</v>
      </c>
      <c r="C46" s="6">
        <v>548.0716667</v>
      </c>
      <c r="D46" s="6">
        <v>299.96</v>
      </c>
      <c r="E46" s="6">
        <v>40.895</v>
      </c>
      <c r="F46" s="6">
        <v>24.34</v>
      </c>
      <c r="G46" s="6">
        <v>21.91833333</v>
      </c>
      <c r="H46" s="6">
        <v>1457.06</v>
      </c>
      <c r="I46" s="6">
        <v>2.598333333</v>
      </c>
      <c r="J46" s="6" t="s">
        <v>16</v>
      </c>
    </row>
    <row r="47">
      <c r="A47" s="6" t="s">
        <v>26</v>
      </c>
      <c r="B47" s="6">
        <v>2020.0</v>
      </c>
      <c r="C47" s="6">
        <v>484.79875</v>
      </c>
      <c r="D47" s="6">
        <v>292.505</v>
      </c>
      <c r="E47" s="6">
        <v>48.47375</v>
      </c>
      <c r="F47" s="6">
        <v>23.68</v>
      </c>
      <c r="G47" s="6">
        <v>27.54625</v>
      </c>
      <c r="H47" s="6">
        <v>1549.61875</v>
      </c>
      <c r="I47" s="6">
        <v>2.38</v>
      </c>
      <c r="J47" s="6" t="s">
        <v>16</v>
      </c>
    </row>
    <row r="48">
      <c r="A48" s="6" t="s">
        <v>26</v>
      </c>
      <c r="B48" s="6">
        <v>2021.0</v>
      </c>
      <c r="C48" s="6">
        <v>659.4511111</v>
      </c>
      <c r="D48" s="6">
        <v>288.9488889</v>
      </c>
      <c r="E48" s="6">
        <v>41.39111111</v>
      </c>
      <c r="F48" s="6">
        <v>25.62333333</v>
      </c>
      <c r="G48" s="6">
        <v>26.46444444</v>
      </c>
      <c r="H48" s="6">
        <v>1640.824444</v>
      </c>
      <c r="I48" s="6">
        <v>2.012222222</v>
      </c>
      <c r="J48" s="6" t="s">
        <v>16</v>
      </c>
    </row>
    <row r="49">
      <c r="A49" s="6" t="s">
        <v>26</v>
      </c>
      <c r="B49" s="6">
        <v>2022.0</v>
      </c>
      <c r="C49" s="6">
        <v>477.698125</v>
      </c>
      <c r="D49" s="6">
        <v>298.385</v>
      </c>
      <c r="E49" s="6">
        <v>53.025625</v>
      </c>
      <c r="F49" s="6">
        <v>25.974375</v>
      </c>
      <c r="G49" s="6">
        <v>25.078125</v>
      </c>
      <c r="H49" s="6">
        <v>1411.735625</v>
      </c>
      <c r="I49" s="6">
        <v>2.84875</v>
      </c>
      <c r="J49" s="6" t="s">
        <v>16</v>
      </c>
    </row>
    <row r="50">
      <c r="A50" s="6" t="s">
        <v>26</v>
      </c>
      <c r="B50" s="6">
        <v>2023.0</v>
      </c>
      <c r="C50" s="6">
        <v>207.795</v>
      </c>
      <c r="D50" s="6">
        <v>322.3866667</v>
      </c>
      <c r="E50" s="6">
        <v>59.68833333</v>
      </c>
      <c r="F50" s="6">
        <v>40.56833333</v>
      </c>
      <c r="G50" s="6">
        <v>30.145</v>
      </c>
      <c r="H50" s="6">
        <v>1297.586667</v>
      </c>
      <c r="I50" s="6">
        <v>2.51</v>
      </c>
      <c r="J50" s="6" t="s">
        <v>25</v>
      </c>
    </row>
    <row r="51">
      <c r="A51" s="6" t="s">
        <v>26</v>
      </c>
      <c r="B51" s="6">
        <v>2024.0</v>
      </c>
      <c r="C51" s="6">
        <v>644.005</v>
      </c>
      <c r="D51" s="6">
        <v>253.959</v>
      </c>
      <c r="E51" s="6">
        <v>55.513</v>
      </c>
      <c r="F51" s="6">
        <v>29.457</v>
      </c>
      <c r="G51" s="6">
        <v>26.868</v>
      </c>
      <c r="H51" s="6">
        <v>1535.133</v>
      </c>
      <c r="I51" s="6">
        <v>1.656</v>
      </c>
      <c r="J51" s="6" t="s">
        <v>16</v>
      </c>
    </row>
    <row r="52">
      <c r="A52" s="6" t="s">
        <v>27</v>
      </c>
      <c r="B52" s="6">
        <v>2000.0</v>
      </c>
      <c r="C52" s="6">
        <v>535.3028571</v>
      </c>
      <c r="D52" s="6">
        <v>254.0585714</v>
      </c>
      <c r="E52" s="6">
        <v>48.39285714</v>
      </c>
      <c r="F52" s="6">
        <v>21.06285714</v>
      </c>
      <c r="G52" s="6">
        <v>25.73428571</v>
      </c>
      <c r="H52" s="6">
        <v>1835.337143</v>
      </c>
      <c r="I52" s="6">
        <v>2.567142857</v>
      </c>
      <c r="J52" s="6" t="s">
        <v>16</v>
      </c>
    </row>
    <row r="53">
      <c r="A53" s="6" t="s">
        <v>27</v>
      </c>
      <c r="B53" s="6">
        <v>2001.0</v>
      </c>
      <c r="C53" s="6">
        <v>639.0090909</v>
      </c>
      <c r="D53" s="6">
        <v>200.5309091</v>
      </c>
      <c r="E53" s="6">
        <v>54.66181818</v>
      </c>
      <c r="F53" s="6">
        <v>34.16727273</v>
      </c>
      <c r="G53" s="6">
        <v>21.84545455</v>
      </c>
      <c r="H53" s="6">
        <v>1524.764545</v>
      </c>
      <c r="I53" s="6">
        <v>2.799090909</v>
      </c>
      <c r="J53" s="6" t="s">
        <v>16</v>
      </c>
    </row>
    <row r="54">
      <c r="A54" s="6" t="s">
        <v>27</v>
      </c>
      <c r="B54" s="6">
        <v>2002.0</v>
      </c>
      <c r="C54" s="6">
        <v>433.875</v>
      </c>
      <c r="D54" s="6">
        <v>286.586</v>
      </c>
      <c r="E54" s="6">
        <v>54.407</v>
      </c>
      <c r="F54" s="6">
        <v>24.681</v>
      </c>
      <c r="G54" s="6">
        <v>23.399</v>
      </c>
      <c r="H54" s="6">
        <v>2000.491</v>
      </c>
      <c r="I54" s="6">
        <v>2.383</v>
      </c>
      <c r="J54" s="6" t="s">
        <v>16</v>
      </c>
    </row>
    <row r="55">
      <c r="A55" s="6" t="s">
        <v>27</v>
      </c>
      <c r="B55" s="6">
        <v>2003.0</v>
      </c>
      <c r="C55" s="6">
        <v>613.36</v>
      </c>
      <c r="D55" s="6">
        <v>346.6015385</v>
      </c>
      <c r="E55" s="6">
        <v>55.85</v>
      </c>
      <c r="F55" s="6">
        <v>30.47230769</v>
      </c>
      <c r="G55" s="6">
        <v>27.44769231</v>
      </c>
      <c r="H55" s="6">
        <v>1511.286923</v>
      </c>
      <c r="I55" s="6">
        <v>2.877692308</v>
      </c>
      <c r="J55" s="6" t="s">
        <v>25</v>
      </c>
    </row>
    <row r="56">
      <c r="A56" s="6" t="s">
        <v>27</v>
      </c>
      <c r="B56" s="6">
        <v>2004.0</v>
      </c>
      <c r="C56" s="6">
        <v>511.8836364</v>
      </c>
      <c r="D56" s="6">
        <v>248.6281818</v>
      </c>
      <c r="E56" s="6">
        <v>51.44727273</v>
      </c>
      <c r="F56" s="6">
        <v>32.37363636</v>
      </c>
      <c r="G56" s="6">
        <v>22.47090909</v>
      </c>
      <c r="H56" s="6">
        <v>1641.064545</v>
      </c>
      <c r="I56" s="6">
        <v>2.613636364</v>
      </c>
      <c r="J56" s="6" t="s">
        <v>16</v>
      </c>
    </row>
    <row r="57">
      <c r="A57" s="6" t="s">
        <v>27</v>
      </c>
      <c r="B57" s="6">
        <v>2005.0</v>
      </c>
      <c r="C57" s="6">
        <v>560.6266667</v>
      </c>
      <c r="D57" s="6">
        <v>274.1866667</v>
      </c>
      <c r="E57" s="6">
        <v>47.74222222</v>
      </c>
      <c r="F57" s="6">
        <v>26.63222222</v>
      </c>
      <c r="G57" s="6">
        <v>19.81555556</v>
      </c>
      <c r="H57" s="6">
        <v>1706.97</v>
      </c>
      <c r="I57" s="6">
        <v>2.675555556</v>
      </c>
      <c r="J57" s="6" t="s">
        <v>16</v>
      </c>
    </row>
    <row r="58">
      <c r="A58" s="6" t="s">
        <v>27</v>
      </c>
      <c r="B58" s="6">
        <v>2006.0</v>
      </c>
      <c r="C58" s="6">
        <v>781.3428571</v>
      </c>
      <c r="D58" s="6">
        <v>236.87</v>
      </c>
      <c r="E58" s="6">
        <v>50.32571429</v>
      </c>
      <c r="F58" s="6">
        <v>36.27</v>
      </c>
      <c r="G58" s="6">
        <v>27.44428571</v>
      </c>
      <c r="H58" s="6">
        <v>1818.135714</v>
      </c>
      <c r="I58" s="6">
        <v>2.331428571</v>
      </c>
      <c r="J58" s="6" t="s">
        <v>16</v>
      </c>
    </row>
    <row r="59">
      <c r="A59" s="6" t="s">
        <v>27</v>
      </c>
      <c r="B59" s="6">
        <v>2007.0</v>
      </c>
      <c r="C59" s="6">
        <v>642.8583333</v>
      </c>
      <c r="D59" s="6">
        <v>285.6816667</v>
      </c>
      <c r="E59" s="6">
        <v>52.52</v>
      </c>
      <c r="F59" s="6">
        <v>26.15333333</v>
      </c>
      <c r="G59" s="6">
        <v>17.37666667</v>
      </c>
      <c r="H59" s="6">
        <v>1863.853333</v>
      </c>
      <c r="I59" s="6">
        <v>2.211666667</v>
      </c>
      <c r="J59" s="6" t="s">
        <v>16</v>
      </c>
    </row>
    <row r="60">
      <c r="A60" s="6" t="s">
        <v>27</v>
      </c>
      <c r="B60" s="6">
        <v>2008.0</v>
      </c>
      <c r="C60" s="6">
        <v>665.5016667</v>
      </c>
      <c r="D60" s="6">
        <v>273.875</v>
      </c>
      <c r="E60" s="6">
        <v>42.34</v>
      </c>
      <c r="F60" s="6">
        <v>28.61333333</v>
      </c>
      <c r="G60" s="6">
        <v>23.34333333</v>
      </c>
      <c r="H60" s="6">
        <v>1356.306667</v>
      </c>
      <c r="I60" s="6">
        <v>2.853333333</v>
      </c>
      <c r="J60" s="6" t="s">
        <v>16</v>
      </c>
    </row>
    <row r="61">
      <c r="A61" s="6" t="s">
        <v>27</v>
      </c>
      <c r="B61" s="6">
        <v>2009.0</v>
      </c>
      <c r="C61" s="6">
        <v>498.7066667</v>
      </c>
      <c r="D61" s="6">
        <v>278.9455556</v>
      </c>
      <c r="E61" s="6">
        <v>53.11</v>
      </c>
      <c r="F61" s="6">
        <v>27.85666667</v>
      </c>
      <c r="G61" s="6">
        <v>26.01222222</v>
      </c>
      <c r="H61" s="6">
        <v>1459.541111</v>
      </c>
      <c r="I61" s="6">
        <v>2.817777778</v>
      </c>
      <c r="J61" s="6" t="s">
        <v>16</v>
      </c>
    </row>
    <row r="62">
      <c r="A62" s="6" t="s">
        <v>27</v>
      </c>
      <c r="B62" s="6">
        <v>2010.0</v>
      </c>
      <c r="C62" s="6">
        <v>337.0366667</v>
      </c>
      <c r="D62" s="6">
        <v>230.1077778</v>
      </c>
      <c r="E62" s="6">
        <v>55.20888889</v>
      </c>
      <c r="F62" s="6">
        <v>21.98555556</v>
      </c>
      <c r="G62" s="6">
        <v>25.16111111</v>
      </c>
      <c r="H62" s="6">
        <v>1933.672222</v>
      </c>
      <c r="I62" s="6">
        <v>1.643333333</v>
      </c>
      <c r="J62" s="6" t="s">
        <v>16</v>
      </c>
    </row>
    <row r="63">
      <c r="A63" s="6" t="s">
        <v>27</v>
      </c>
      <c r="B63" s="6">
        <v>2011.0</v>
      </c>
      <c r="C63" s="6">
        <v>483.5825</v>
      </c>
      <c r="D63" s="6">
        <v>266.6833333</v>
      </c>
      <c r="E63" s="6">
        <v>47.615</v>
      </c>
      <c r="F63" s="6">
        <v>25.46833333</v>
      </c>
      <c r="G63" s="6">
        <v>28.005</v>
      </c>
      <c r="H63" s="6">
        <v>1403.941667</v>
      </c>
      <c r="I63" s="6">
        <v>2.779166667</v>
      </c>
      <c r="J63" s="6" t="s">
        <v>16</v>
      </c>
    </row>
    <row r="64">
      <c r="A64" s="6" t="s">
        <v>27</v>
      </c>
      <c r="B64" s="6">
        <v>2012.0</v>
      </c>
      <c r="C64" s="6">
        <v>469.025</v>
      </c>
      <c r="D64" s="6">
        <v>331.6375</v>
      </c>
      <c r="E64" s="6">
        <v>36.3725</v>
      </c>
      <c r="F64" s="6">
        <v>22.0175</v>
      </c>
      <c r="G64" s="6">
        <v>25.9475</v>
      </c>
      <c r="H64" s="6">
        <v>1650.935</v>
      </c>
      <c r="I64" s="6">
        <v>2.2375</v>
      </c>
      <c r="J64" s="6" t="s">
        <v>25</v>
      </c>
    </row>
    <row r="65">
      <c r="A65" s="6" t="s">
        <v>27</v>
      </c>
      <c r="B65" s="6">
        <v>2013.0</v>
      </c>
      <c r="C65" s="6">
        <v>562.74125</v>
      </c>
      <c r="D65" s="6">
        <v>197.11875</v>
      </c>
      <c r="E65" s="6">
        <v>47.295</v>
      </c>
      <c r="F65" s="6">
        <v>18.0575</v>
      </c>
      <c r="G65" s="6">
        <v>27.91625</v>
      </c>
      <c r="H65" s="6">
        <v>1699.57875</v>
      </c>
      <c r="I65" s="6">
        <v>2.78375</v>
      </c>
      <c r="J65" s="6" t="s">
        <v>28</v>
      </c>
    </row>
    <row r="66">
      <c r="A66" s="6" t="s">
        <v>27</v>
      </c>
      <c r="B66" s="6">
        <v>2014.0</v>
      </c>
      <c r="C66" s="6">
        <v>559.112</v>
      </c>
      <c r="D66" s="6">
        <v>317.394</v>
      </c>
      <c r="E66" s="6">
        <v>58.716</v>
      </c>
      <c r="F66" s="6">
        <v>28.48133333</v>
      </c>
      <c r="G66" s="6">
        <v>27.96533333</v>
      </c>
      <c r="H66" s="6">
        <v>1647.265333</v>
      </c>
      <c r="I66" s="6">
        <v>2.271333333</v>
      </c>
      <c r="J66" s="6" t="s">
        <v>25</v>
      </c>
    </row>
    <row r="67">
      <c r="A67" s="6" t="s">
        <v>27</v>
      </c>
      <c r="B67" s="6">
        <v>2015.0</v>
      </c>
      <c r="C67" s="6">
        <v>574.5815385</v>
      </c>
      <c r="D67" s="6">
        <v>348.3384615</v>
      </c>
      <c r="E67" s="6">
        <v>47.07307692</v>
      </c>
      <c r="F67" s="6">
        <v>33.68461538</v>
      </c>
      <c r="G67" s="6">
        <v>22.42307692</v>
      </c>
      <c r="H67" s="6">
        <v>1569.433077</v>
      </c>
      <c r="I67" s="6">
        <v>1.808461538</v>
      </c>
      <c r="J67" s="6" t="s">
        <v>25</v>
      </c>
    </row>
    <row r="68">
      <c r="A68" s="6" t="s">
        <v>27</v>
      </c>
      <c r="B68" s="6">
        <v>2016.0</v>
      </c>
      <c r="C68" s="6">
        <v>501.7923077</v>
      </c>
      <c r="D68" s="6">
        <v>289.3046154</v>
      </c>
      <c r="E68" s="6">
        <v>50.24923077</v>
      </c>
      <c r="F68" s="6">
        <v>28.60307692</v>
      </c>
      <c r="G68" s="6">
        <v>27.30692308</v>
      </c>
      <c r="H68" s="6">
        <v>2017.038462</v>
      </c>
      <c r="I68" s="6">
        <v>3.008461538</v>
      </c>
      <c r="J68" s="6" t="s">
        <v>16</v>
      </c>
    </row>
    <row r="69">
      <c r="A69" s="6" t="s">
        <v>27</v>
      </c>
      <c r="B69" s="6">
        <v>2017.0</v>
      </c>
      <c r="C69" s="6">
        <v>574.563</v>
      </c>
      <c r="D69" s="6">
        <v>292.3</v>
      </c>
      <c r="E69" s="6">
        <v>45.357</v>
      </c>
      <c r="F69" s="6">
        <v>27.285</v>
      </c>
      <c r="G69" s="6">
        <v>26.176</v>
      </c>
      <c r="H69" s="6">
        <v>1338.94</v>
      </c>
      <c r="I69" s="6">
        <v>2.189</v>
      </c>
      <c r="J69" s="6" t="s">
        <v>16</v>
      </c>
    </row>
    <row r="70">
      <c r="A70" s="6" t="s">
        <v>27</v>
      </c>
      <c r="B70" s="6">
        <v>2018.0</v>
      </c>
      <c r="C70" s="6">
        <v>287.1566667</v>
      </c>
      <c r="D70" s="6">
        <v>248.6733333</v>
      </c>
      <c r="E70" s="6">
        <v>42.20833333</v>
      </c>
      <c r="F70" s="6">
        <v>26.99833333</v>
      </c>
      <c r="G70" s="6">
        <v>27.89</v>
      </c>
      <c r="H70" s="6">
        <v>1074.935</v>
      </c>
      <c r="I70" s="6">
        <v>2.69</v>
      </c>
      <c r="J70" s="6" t="s">
        <v>16</v>
      </c>
    </row>
    <row r="71">
      <c r="A71" s="6" t="s">
        <v>27</v>
      </c>
      <c r="B71" s="6">
        <v>2019.0</v>
      </c>
      <c r="C71" s="6">
        <v>497.8663636</v>
      </c>
      <c r="D71" s="6">
        <v>228.5627273</v>
      </c>
      <c r="E71" s="6">
        <v>60.82818182</v>
      </c>
      <c r="F71" s="6">
        <v>25.43727273</v>
      </c>
      <c r="G71" s="6">
        <v>24.23727273</v>
      </c>
      <c r="H71" s="6">
        <v>1452.016364</v>
      </c>
      <c r="I71" s="6">
        <v>2.879090909</v>
      </c>
      <c r="J71" s="6" t="s">
        <v>16</v>
      </c>
    </row>
    <row r="72">
      <c r="A72" s="6" t="s">
        <v>27</v>
      </c>
      <c r="B72" s="6">
        <v>2020.0</v>
      </c>
      <c r="C72" s="6">
        <v>553.0541176</v>
      </c>
      <c r="D72" s="6">
        <v>261.3735294</v>
      </c>
      <c r="E72" s="6">
        <v>47.09529412</v>
      </c>
      <c r="F72" s="6">
        <v>29.15352941</v>
      </c>
      <c r="G72" s="6">
        <v>27.90882353</v>
      </c>
      <c r="H72" s="6">
        <v>1771.814706</v>
      </c>
      <c r="I72" s="6">
        <v>2.653529412</v>
      </c>
      <c r="J72" s="6" t="s">
        <v>16</v>
      </c>
    </row>
    <row r="73">
      <c r="A73" s="6" t="s">
        <v>27</v>
      </c>
      <c r="B73" s="6">
        <v>2021.0</v>
      </c>
      <c r="C73" s="6">
        <v>457.14</v>
      </c>
      <c r="D73" s="6">
        <v>264.78125</v>
      </c>
      <c r="E73" s="6">
        <v>45.7425</v>
      </c>
      <c r="F73" s="6">
        <v>27.22</v>
      </c>
      <c r="G73" s="6">
        <v>21.1825</v>
      </c>
      <c r="H73" s="6">
        <v>1620.69375</v>
      </c>
      <c r="I73" s="6">
        <v>2.27875</v>
      </c>
      <c r="J73" s="6" t="s">
        <v>16</v>
      </c>
    </row>
    <row r="74">
      <c r="A74" s="6" t="s">
        <v>27</v>
      </c>
      <c r="B74" s="6">
        <v>2022.0</v>
      </c>
      <c r="C74" s="6">
        <v>417.748</v>
      </c>
      <c r="D74" s="6">
        <v>289.605</v>
      </c>
      <c r="E74" s="6">
        <v>53.949</v>
      </c>
      <c r="F74" s="6">
        <v>22.364</v>
      </c>
      <c r="G74" s="6">
        <v>24.084</v>
      </c>
      <c r="H74" s="6">
        <v>1606.203</v>
      </c>
      <c r="I74" s="6">
        <v>2.56</v>
      </c>
      <c r="J74" s="6" t="s">
        <v>16</v>
      </c>
    </row>
    <row r="75">
      <c r="A75" s="6" t="s">
        <v>27</v>
      </c>
      <c r="B75" s="6">
        <v>2023.0</v>
      </c>
      <c r="C75" s="6">
        <v>688.2325</v>
      </c>
      <c r="D75" s="6">
        <v>336.95875</v>
      </c>
      <c r="E75" s="6">
        <v>39.915</v>
      </c>
      <c r="F75" s="6">
        <v>21.9125</v>
      </c>
      <c r="G75" s="6">
        <v>26.52125</v>
      </c>
      <c r="H75" s="6">
        <v>1420.54625</v>
      </c>
      <c r="I75" s="6">
        <v>1.82875</v>
      </c>
      <c r="J75" s="6" t="s">
        <v>25</v>
      </c>
    </row>
    <row r="76">
      <c r="A76" s="6" t="s">
        <v>27</v>
      </c>
      <c r="B76" s="6">
        <v>2024.0</v>
      </c>
      <c r="C76" s="6">
        <v>417.18875</v>
      </c>
      <c r="D76" s="6">
        <v>309.9975</v>
      </c>
      <c r="E76" s="6">
        <v>55.47</v>
      </c>
      <c r="F76" s="6">
        <v>18.35625</v>
      </c>
      <c r="G76" s="6">
        <v>23.85875</v>
      </c>
      <c r="H76" s="6">
        <v>1354.0525</v>
      </c>
      <c r="I76" s="6">
        <v>2.8725</v>
      </c>
      <c r="J76" s="6" t="s">
        <v>25</v>
      </c>
    </row>
    <row r="77">
      <c r="A77" s="6" t="s">
        <v>29</v>
      </c>
      <c r="B77" s="6">
        <v>2000.0</v>
      </c>
      <c r="C77" s="6">
        <v>382.5146154</v>
      </c>
      <c r="D77" s="6">
        <v>236.62</v>
      </c>
      <c r="E77" s="6">
        <v>51.28615385</v>
      </c>
      <c r="F77" s="6">
        <v>21.67461538</v>
      </c>
      <c r="G77" s="6">
        <v>26.30923077</v>
      </c>
      <c r="H77" s="6">
        <v>1423.098462</v>
      </c>
      <c r="I77" s="6">
        <v>2.273846154</v>
      </c>
      <c r="J77" s="6" t="s">
        <v>16</v>
      </c>
    </row>
    <row r="78">
      <c r="A78" s="6" t="s">
        <v>29</v>
      </c>
      <c r="B78" s="6">
        <v>2001.0</v>
      </c>
      <c r="C78" s="6">
        <v>336.8311111</v>
      </c>
      <c r="D78" s="6">
        <v>360.4011111</v>
      </c>
      <c r="E78" s="6">
        <v>49.65888889</v>
      </c>
      <c r="F78" s="6">
        <v>29.44777778</v>
      </c>
      <c r="G78" s="6">
        <v>24.85333333</v>
      </c>
      <c r="H78" s="6">
        <v>1244.823333</v>
      </c>
      <c r="I78" s="6">
        <v>2.134444444</v>
      </c>
      <c r="J78" s="6" t="s">
        <v>25</v>
      </c>
    </row>
    <row r="79">
      <c r="A79" s="6" t="s">
        <v>29</v>
      </c>
      <c r="B79" s="6">
        <v>2002.0</v>
      </c>
      <c r="C79" s="6">
        <v>523.434</v>
      </c>
      <c r="D79" s="6">
        <v>315.01</v>
      </c>
      <c r="E79" s="6">
        <v>56.214</v>
      </c>
      <c r="F79" s="6">
        <v>27.199</v>
      </c>
      <c r="G79" s="6">
        <v>24.177</v>
      </c>
      <c r="H79" s="6">
        <v>1902.677</v>
      </c>
      <c r="I79" s="6">
        <v>3.398</v>
      </c>
      <c r="J79" s="6" t="s">
        <v>25</v>
      </c>
    </row>
    <row r="80">
      <c r="A80" s="6" t="s">
        <v>29</v>
      </c>
      <c r="B80" s="6">
        <v>2003.0</v>
      </c>
      <c r="C80" s="6">
        <v>346.3242857</v>
      </c>
      <c r="D80" s="6">
        <v>196.96</v>
      </c>
      <c r="E80" s="6">
        <v>49.38857143</v>
      </c>
      <c r="F80" s="6">
        <v>34.52285714</v>
      </c>
      <c r="G80" s="6">
        <v>27.11428571</v>
      </c>
      <c r="H80" s="6">
        <v>1343.852857</v>
      </c>
      <c r="I80" s="6">
        <v>2.988571429</v>
      </c>
      <c r="J80" s="6" t="s">
        <v>28</v>
      </c>
    </row>
    <row r="81">
      <c r="A81" s="6" t="s">
        <v>29</v>
      </c>
      <c r="B81" s="6">
        <v>2004.0</v>
      </c>
      <c r="C81" s="6">
        <v>397.045</v>
      </c>
      <c r="D81" s="6">
        <v>363.612</v>
      </c>
      <c r="E81" s="6">
        <v>50.919</v>
      </c>
      <c r="F81" s="6">
        <v>35.19</v>
      </c>
      <c r="G81" s="6">
        <v>20.717</v>
      </c>
      <c r="H81" s="6">
        <v>1820.441</v>
      </c>
      <c r="I81" s="6">
        <v>2.459</v>
      </c>
      <c r="J81" s="6" t="s">
        <v>25</v>
      </c>
    </row>
    <row r="82">
      <c r="A82" s="6" t="s">
        <v>29</v>
      </c>
      <c r="B82" s="6">
        <v>2005.0</v>
      </c>
      <c r="C82" s="6">
        <v>511.832</v>
      </c>
      <c r="D82" s="6">
        <v>223.712</v>
      </c>
      <c r="E82" s="6">
        <v>46.746</v>
      </c>
      <c r="F82" s="6">
        <v>29.47</v>
      </c>
      <c r="G82" s="6">
        <v>21.278</v>
      </c>
      <c r="H82" s="6">
        <v>1606.15</v>
      </c>
      <c r="I82" s="6">
        <v>3.928</v>
      </c>
      <c r="J82" s="6" t="s">
        <v>16</v>
      </c>
    </row>
    <row r="83">
      <c r="A83" s="6" t="s">
        <v>29</v>
      </c>
      <c r="B83" s="6">
        <v>2006.0</v>
      </c>
      <c r="C83" s="6">
        <v>748.4233333</v>
      </c>
      <c r="D83" s="6">
        <v>319.7166667</v>
      </c>
      <c r="E83" s="6">
        <v>55.50333333</v>
      </c>
      <c r="F83" s="6">
        <v>43.58333333</v>
      </c>
      <c r="G83" s="6">
        <v>21.82666667</v>
      </c>
      <c r="H83" s="6">
        <v>1202.826667</v>
      </c>
      <c r="I83" s="6">
        <v>2.54</v>
      </c>
      <c r="J83" s="6" t="s">
        <v>25</v>
      </c>
    </row>
    <row r="84">
      <c r="A84" s="6" t="s">
        <v>29</v>
      </c>
      <c r="B84" s="6">
        <v>2007.0</v>
      </c>
      <c r="C84" s="6">
        <v>572.6066667</v>
      </c>
      <c r="D84" s="6">
        <v>270.1277778</v>
      </c>
      <c r="E84" s="6">
        <v>49.50666667</v>
      </c>
      <c r="F84" s="6">
        <v>28.00555556</v>
      </c>
      <c r="G84" s="6">
        <v>23.99555556</v>
      </c>
      <c r="H84" s="6">
        <v>1688.984444</v>
      </c>
      <c r="I84" s="6">
        <v>1.99</v>
      </c>
      <c r="J84" s="6" t="s">
        <v>16</v>
      </c>
    </row>
    <row r="85">
      <c r="A85" s="6" t="s">
        <v>29</v>
      </c>
      <c r="B85" s="6">
        <v>2008.0</v>
      </c>
      <c r="C85" s="6">
        <v>522.7742857</v>
      </c>
      <c r="D85" s="6">
        <v>236.3428571</v>
      </c>
      <c r="E85" s="6">
        <v>42.83857143</v>
      </c>
      <c r="F85" s="6">
        <v>30.79285714</v>
      </c>
      <c r="G85" s="6">
        <v>21.55285714</v>
      </c>
      <c r="H85" s="6">
        <v>1010.11</v>
      </c>
      <c r="I85" s="6">
        <v>3.74</v>
      </c>
      <c r="J85" s="6" t="s">
        <v>16</v>
      </c>
    </row>
    <row r="86">
      <c r="A86" s="6" t="s">
        <v>29</v>
      </c>
      <c r="B86" s="6">
        <v>2009.0</v>
      </c>
      <c r="C86" s="6">
        <v>361.4271429</v>
      </c>
      <c r="D86" s="6">
        <v>220.7835714</v>
      </c>
      <c r="E86" s="6">
        <v>45.11</v>
      </c>
      <c r="F86" s="6">
        <v>27.53642857</v>
      </c>
      <c r="G86" s="6">
        <v>25.85642857</v>
      </c>
      <c r="H86" s="6">
        <v>1851.837143</v>
      </c>
      <c r="I86" s="6">
        <v>2.993571429</v>
      </c>
      <c r="J86" s="6" t="s">
        <v>16</v>
      </c>
    </row>
    <row r="87">
      <c r="A87" s="6" t="s">
        <v>29</v>
      </c>
      <c r="B87" s="6">
        <v>2010.0</v>
      </c>
      <c r="C87" s="6">
        <v>532.35</v>
      </c>
      <c r="D87" s="6">
        <v>218.36875</v>
      </c>
      <c r="E87" s="6">
        <v>54.685</v>
      </c>
      <c r="F87" s="6">
        <v>31.305</v>
      </c>
      <c r="G87" s="6">
        <v>26.1275</v>
      </c>
      <c r="H87" s="6">
        <v>1776.94125</v>
      </c>
      <c r="I87" s="6">
        <v>3.1825</v>
      </c>
      <c r="J87" s="6" t="s">
        <v>16</v>
      </c>
    </row>
    <row r="88">
      <c r="A88" s="6" t="s">
        <v>29</v>
      </c>
      <c r="B88" s="6">
        <v>2011.0</v>
      </c>
      <c r="C88" s="6">
        <v>538.9313333</v>
      </c>
      <c r="D88" s="6">
        <v>333.4326667</v>
      </c>
      <c r="E88" s="6">
        <v>57.00333333</v>
      </c>
      <c r="F88" s="6">
        <v>25.74</v>
      </c>
      <c r="G88" s="6">
        <v>25.19066667</v>
      </c>
      <c r="H88" s="6">
        <v>1949.646667</v>
      </c>
      <c r="I88" s="6">
        <v>2.631333333</v>
      </c>
      <c r="J88" s="6" t="s">
        <v>25</v>
      </c>
    </row>
    <row r="89">
      <c r="A89" s="6" t="s">
        <v>29</v>
      </c>
      <c r="B89" s="6">
        <v>2012.0</v>
      </c>
      <c r="C89" s="6">
        <v>478.68375</v>
      </c>
      <c r="D89" s="6">
        <v>264.65375</v>
      </c>
      <c r="E89" s="6">
        <v>47.1725</v>
      </c>
      <c r="F89" s="6">
        <v>30.0575</v>
      </c>
      <c r="G89" s="6">
        <v>24.465</v>
      </c>
      <c r="H89" s="6">
        <v>1403.48625</v>
      </c>
      <c r="I89" s="6">
        <v>2.97625</v>
      </c>
      <c r="J89" s="6" t="s">
        <v>16</v>
      </c>
    </row>
    <row r="90">
      <c r="A90" s="6" t="s">
        <v>29</v>
      </c>
      <c r="B90" s="6">
        <v>2013.0</v>
      </c>
      <c r="C90" s="6">
        <v>460.666</v>
      </c>
      <c r="D90" s="6">
        <v>140.288</v>
      </c>
      <c r="E90" s="6">
        <v>49.074</v>
      </c>
      <c r="F90" s="6">
        <v>38.574</v>
      </c>
      <c r="G90" s="6">
        <v>26.216</v>
      </c>
      <c r="H90" s="6">
        <v>1733.832</v>
      </c>
      <c r="I90" s="6">
        <v>2.532</v>
      </c>
      <c r="J90" s="6" t="s">
        <v>28</v>
      </c>
    </row>
    <row r="91">
      <c r="A91" s="6" t="s">
        <v>29</v>
      </c>
      <c r="B91" s="6">
        <v>2014.0</v>
      </c>
      <c r="C91" s="6">
        <v>563.8890909</v>
      </c>
      <c r="D91" s="6">
        <v>192.1927273</v>
      </c>
      <c r="E91" s="6">
        <v>42.29727273</v>
      </c>
      <c r="F91" s="6">
        <v>28.48363636</v>
      </c>
      <c r="G91" s="6">
        <v>23.93454545</v>
      </c>
      <c r="H91" s="6">
        <v>1622.126364</v>
      </c>
      <c r="I91" s="6">
        <v>3.225454545</v>
      </c>
      <c r="J91" s="6" t="s">
        <v>28</v>
      </c>
    </row>
    <row r="92">
      <c r="A92" s="6" t="s">
        <v>29</v>
      </c>
      <c r="B92" s="6">
        <v>2015.0</v>
      </c>
      <c r="C92" s="6">
        <v>367.232</v>
      </c>
      <c r="D92" s="6">
        <v>318.078</v>
      </c>
      <c r="E92" s="6">
        <v>46.974</v>
      </c>
      <c r="F92" s="6">
        <v>27.834</v>
      </c>
      <c r="G92" s="6">
        <v>32.21</v>
      </c>
      <c r="H92" s="6">
        <v>1586.67</v>
      </c>
      <c r="I92" s="6">
        <v>4.114</v>
      </c>
      <c r="J92" s="6" t="s">
        <v>25</v>
      </c>
    </row>
    <row r="93">
      <c r="A93" s="6" t="s">
        <v>29</v>
      </c>
      <c r="B93" s="6">
        <v>2016.0</v>
      </c>
      <c r="C93" s="6">
        <v>568.3621053</v>
      </c>
      <c r="D93" s="6">
        <v>255.0647368</v>
      </c>
      <c r="E93" s="6">
        <v>46.92263158</v>
      </c>
      <c r="F93" s="6">
        <v>23.71736842</v>
      </c>
      <c r="G93" s="6">
        <v>24.36210526</v>
      </c>
      <c r="H93" s="6">
        <v>1488.141579</v>
      </c>
      <c r="I93" s="6">
        <v>2.496842105</v>
      </c>
      <c r="J93" s="6" t="s">
        <v>16</v>
      </c>
    </row>
    <row r="94">
      <c r="A94" s="6" t="s">
        <v>29</v>
      </c>
      <c r="B94" s="6">
        <v>2017.0</v>
      </c>
      <c r="C94" s="6">
        <v>386.1366667</v>
      </c>
      <c r="D94" s="6">
        <v>181.9433333</v>
      </c>
      <c r="E94" s="6">
        <v>52.955</v>
      </c>
      <c r="F94" s="6">
        <v>34.02666667</v>
      </c>
      <c r="G94" s="6">
        <v>27.52</v>
      </c>
      <c r="H94" s="6">
        <v>2060.451667</v>
      </c>
      <c r="I94" s="6">
        <v>2.68</v>
      </c>
      <c r="J94" s="6" t="s">
        <v>28</v>
      </c>
    </row>
    <row r="95">
      <c r="A95" s="6" t="s">
        <v>29</v>
      </c>
      <c r="B95" s="6">
        <v>2018.0</v>
      </c>
      <c r="C95" s="6">
        <v>563.8364286</v>
      </c>
      <c r="D95" s="6">
        <v>301.8814286</v>
      </c>
      <c r="E95" s="6">
        <v>50.54857143</v>
      </c>
      <c r="F95" s="6">
        <v>27.85214286</v>
      </c>
      <c r="G95" s="6">
        <v>23.12071429</v>
      </c>
      <c r="H95" s="6">
        <v>1431.243571</v>
      </c>
      <c r="I95" s="6">
        <v>2.653571429</v>
      </c>
      <c r="J95" s="6" t="s">
        <v>25</v>
      </c>
    </row>
    <row r="96">
      <c r="A96" s="6" t="s">
        <v>29</v>
      </c>
      <c r="B96" s="6">
        <v>2019.0</v>
      </c>
      <c r="C96" s="6">
        <v>545.6142857</v>
      </c>
      <c r="D96" s="6">
        <v>330.0142857</v>
      </c>
      <c r="E96" s="6">
        <v>55.50714286</v>
      </c>
      <c r="F96" s="6">
        <v>26.14</v>
      </c>
      <c r="G96" s="6">
        <v>22.36428571</v>
      </c>
      <c r="H96" s="6">
        <v>1200.763571</v>
      </c>
      <c r="I96" s="6">
        <v>3.002142857</v>
      </c>
      <c r="J96" s="6" t="s">
        <v>25</v>
      </c>
    </row>
    <row r="97">
      <c r="A97" s="6" t="s">
        <v>29</v>
      </c>
      <c r="B97" s="6">
        <v>2020.0</v>
      </c>
      <c r="C97" s="6">
        <v>445.1363636</v>
      </c>
      <c r="D97" s="6">
        <v>315.7736364</v>
      </c>
      <c r="E97" s="6">
        <v>46.30636364</v>
      </c>
      <c r="F97" s="6">
        <v>27.50545455</v>
      </c>
      <c r="G97" s="6">
        <v>25.50727273</v>
      </c>
      <c r="H97" s="6">
        <v>1165.987273</v>
      </c>
      <c r="I97" s="6">
        <v>2.376363636</v>
      </c>
      <c r="J97" s="6" t="s">
        <v>25</v>
      </c>
    </row>
    <row r="98">
      <c r="A98" s="6" t="s">
        <v>29</v>
      </c>
      <c r="B98" s="6">
        <v>2021.0</v>
      </c>
      <c r="C98" s="6">
        <v>597.2784615</v>
      </c>
      <c r="D98" s="6">
        <v>277.4907692</v>
      </c>
      <c r="E98" s="6">
        <v>51.01769231</v>
      </c>
      <c r="F98" s="6">
        <v>29.44538462</v>
      </c>
      <c r="G98" s="6">
        <v>26.06384615</v>
      </c>
      <c r="H98" s="6">
        <v>1350.286154</v>
      </c>
      <c r="I98" s="6">
        <v>2.098461538</v>
      </c>
      <c r="J98" s="6" t="s">
        <v>16</v>
      </c>
    </row>
    <row r="99">
      <c r="A99" s="6" t="s">
        <v>29</v>
      </c>
      <c r="B99" s="6">
        <v>2022.0</v>
      </c>
      <c r="C99" s="6">
        <v>470.68</v>
      </c>
      <c r="D99" s="6">
        <v>260.4033333</v>
      </c>
      <c r="E99" s="6">
        <v>53.52111111</v>
      </c>
      <c r="F99" s="6">
        <v>28.25</v>
      </c>
      <c r="G99" s="6">
        <v>22.12</v>
      </c>
      <c r="H99" s="6">
        <v>1277.861111</v>
      </c>
      <c r="I99" s="6">
        <v>2.641111111</v>
      </c>
      <c r="J99" s="6" t="s">
        <v>16</v>
      </c>
    </row>
    <row r="100">
      <c r="A100" s="6" t="s">
        <v>29</v>
      </c>
      <c r="B100" s="6">
        <v>2023.0</v>
      </c>
      <c r="C100" s="6">
        <v>653.7088889</v>
      </c>
      <c r="D100" s="6">
        <v>333.3888889</v>
      </c>
      <c r="E100" s="6">
        <v>50.0</v>
      </c>
      <c r="F100" s="6">
        <v>23.55333333</v>
      </c>
      <c r="G100" s="6">
        <v>26.95222222</v>
      </c>
      <c r="H100" s="6">
        <v>1161.61</v>
      </c>
      <c r="I100" s="6">
        <v>2.785555556</v>
      </c>
      <c r="J100" s="6" t="s">
        <v>25</v>
      </c>
    </row>
    <row r="101">
      <c r="A101" s="6" t="s">
        <v>29</v>
      </c>
      <c r="B101" s="6">
        <v>2024.0</v>
      </c>
      <c r="C101" s="6">
        <v>476.976875</v>
      </c>
      <c r="D101" s="6">
        <v>216.31125</v>
      </c>
      <c r="E101" s="6">
        <v>57.044375</v>
      </c>
      <c r="F101" s="6">
        <v>26.726875</v>
      </c>
      <c r="G101" s="6">
        <v>26.4175</v>
      </c>
      <c r="H101" s="6">
        <v>1312.939375</v>
      </c>
      <c r="I101" s="6">
        <v>3.0</v>
      </c>
      <c r="J101" s="6" t="s">
        <v>16</v>
      </c>
    </row>
    <row r="102">
      <c r="A102" s="6" t="s">
        <v>30</v>
      </c>
      <c r="B102" s="6">
        <v>2000.0</v>
      </c>
      <c r="C102" s="6">
        <v>681.0283333</v>
      </c>
      <c r="D102" s="6">
        <v>304.215</v>
      </c>
      <c r="E102" s="6">
        <v>59.855</v>
      </c>
      <c r="F102" s="6">
        <v>29.28833333</v>
      </c>
      <c r="G102" s="6">
        <v>31.20166667</v>
      </c>
      <c r="H102" s="6">
        <v>1162.198333</v>
      </c>
      <c r="I102" s="6">
        <v>2.95</v>
      </c>
      <c r="J102" s="6" t="s">
        <v>25</v>
      </c>
    </row>
    <row r="103">
      <c r="A103" s="6" t="s">
        <v>30</v>
      </c>
      <c r="B103" s="6">
        <v>2001.0</v>
      </c>
      <c r="C103" s="6">
        <v>611.81</v>
      </c>
      <c r="D103" s="6">
        <v>338.03125</v>
      </c>
      <c r="E103" s="6">
        <v>49.53</v>
      </c>
      <c r="F103" s="6">
        <v>27.50875</v>
      </c>
      <c r="G103" s="6">
        <v>24.2175</v>
      </c>
      <c r="H103" s="6">
        <v>2039.9125</v>
      </c>
      <c r="I103" s="6">
        <v>2.94375</v>
      </c>
      <c r="J103" s="6" t="s">
        <v>25</v>
      </c>
    </row>
    <row r="104">
      <c r="A104" s="6" t="s">
        <v>30</v>
      </c>
      <c r="B104" s="6">
        <v>2002.0</v>
      </c>
      <c r="C104" s="6">
        <v>440.7053846</v>
      </c>
      <c r="D104" s="6">
        <v>236.3661538</v>
      </c>
      <c r="E104" s="6">
        <v>48.57923077</v>
      </c>
      <c r="F104" s="6">
        <v>30.26307692</v>
      </c>
      <c r="G104" s="6">
        <v>26.95692308</v>
      </c>
      <c r="H104" s="6">
        <v>1538.954615</v>
      </c>
      <c r="I104" s="6">
        <v>2.877692308</v>
      </c>
      <c r="J104" s="6" t="s">
        <v>16</v>
      </c>
    </row>
    <row r="105">
      <c r="A105" s="6" t="s">
        <v>30</v>
      </c>
      <c r="B105" s="6">
        <v>2003.0</v>
      </c>
      <c r="C105" s="6">
        <v>560.2175</v>
      </c>
      <c r="D105" s="6">
        <v>254.99</v>
      </c>
      <c r="E105" s="6">
        <v>47.54375</v>
      </c>
      <c r="F105" s="6">
        <v>30.1575</v>
      </c>
      <c r="G105" s="6">
        <v>21.235</v>
      </c>
      <c r="H105" s="6">
        <v>1030.6175</v>
      </c>
      <c r="I105" s="6">
        <v>2.76875</v>
      </c>
      <c r="J105" s="6" t="s">
        <v>16</v>
      </c>
    </row>
    <row r="106">
      <c r="A106" s="6" t="s">
        <v>30</v>
      </c>
      <c r="B106" s="6">
        <v>2004.0</v>
      </c>
      <c r="C106" s="6">
        <v>798.418</v>
      </c>
      <c r="D106" s="6">
        <v>332.616</v>
      </c>
      <c r="E106" s="6">
        <v>49.508</v>
      </c>
      <c r="F106" s="6">
        <v>32.036</v>
      </c>
      <c r="G106" s="6">
        <v>26.33</v>
      </c>
      <c r="H106" s="6">
        <v>1494.778</v>
      </c>
      <c r="I106" s="6">
        <v>2.802</v>
      </c>
      <c r="J106" s="6" t="s">
        <v>25</v>
      </c>
    </row>
    <row r="107">
      <c r="A107" s="6" t="s">
        <v>30</v>
      </c>
      <c r="B107" s="6">
        <v>2005.0</v>
      </c>
      <c r="C107" s="6">
        <v>561.7107692</v>
      </c>
      <c r="D107" s="6">
        <v>269.9892308</v>
      </c>
      <c r="E107" s="6">
        <v>60.50538462</v>
      </c>
      <c r="F107" s="6">
        <v>31.58615385</v>
      </c>
      <c r="G107" s="6">
        <v>24.89307692</v>
      </c>
      <c r="H107" s="6">
        <v>1564.781538</v>
      </c>
      <c r="I107" s="6">
        <v>2.165384615</v>
      </c>
      <c r="J107" s="6" t="s">
        <v>16</v>
      </c>
    </row>
    <row r="108">
      <c r="A108" s="6" t="s">
        <v>30</v>
      </c>
      <c r="B108" s="6">
        <v>2006.0</v>
      </c>
      <c r="C108" s="6">
        <v>455.5545455</v>
      </c>
      <c r="D108" s="6">
        <v>296.5945455</v>
      </c>
      <c r="E108" s="6">
        <v>45.90090909</v>
      </c>
      <c r="F108" s="6">
        <v>23.29</v>
      </c>
      <c r="G108" s="6">
        <v>27.98454545</v>
      </c>
      <c r="H108" s="6">
        <v>1801.888182</v>
      </c>
      <c r="I108" s="6">
        <v>2.977272727</v>
      </c>
      <c r="J108" s="6" t="s">
        <v>16</v>
      </c>
    </row>
    <row r="109">
      <c r="A109" s="6" t="s">
        <v>30</v>
      </c>
      <c r="B109" s="6">
        <v>2007.0</v>
      </c>
      <c r="C109" s="6">
        <v>462.5009091</v>
      </c>
      <c r="D109" s="6">
        <v>266.9436364</v>
      </c>
      <c r="E109" s="6">
        <v>56.33090909</v>
      </c>
      <c r="F109" s="6">
        <v>23.10636364</v>
      </c>
      <c r="G109" s="6">
        <v>27.83636364</v>
      </c>
      <c r="H109" s="6">
        <v>1444.176364</v>
      </c>
      <c r="I109" s="6">
        <v>3.033636364</v>
      </c>
      <c r="J109" s="6" t="s">
        <v>16</v>
      </c>
    </row>
    <row r="110">
      <c r="A110" s="6" t="s">
        <v>30</v>
      </c>
      <c r="B110" s="6">
        <v>2008.0</v>
      </c>
      <c r="C110" s="6">
        <v>558.4945455</v>
      </c>
      <c r="D110" s="6">
        <v>299.8290909</v>
      </c>
      <c r="E110" s="6">
        <v>47.24454545</v>
      </c>
      <c r="F110" s="6">
        <v>24.14818182</v>
      </c>
      <c r="G110" s="6">
        <v>21.31909091</v>
      </c>
      <c r="H110" s="6">
        <v>1226.450909</v>
      </c>
      <c r="I110" s="6">
        <v>3.698181818</v>
      </c>
      <c r="J110" s="6" t="s">
        <v>16</v>
      </c>
    </row>
    <row r="111">
      <c r="A111" s="6" t="s">
        <v>30</v>
      </c>
      <c r="B111" s="6">
        <v>2009.0</v>
      </c>
      <c r="C111" s="6">
        <v>383.6785714</v>
      </c>
      <c r="D111" s="6">
        <v>247.7771429</v>
      </c>
      <c r="E111" s="6">
        <v>56.41428571</v>
      </c>
      <c r="F111" s="6">
        <v>27.73285714</v>
      </c>
      <c r="G111" s="6">
        <v>23.78857143</v>
      </c>
      <c r="H111" s="6">
        <v>1109.032857</v>
      </c>
      <c r="I111" s="6">
        <v>3.081428571</v>
      </c>
      <c r="J111" s="6" t="s">
        <v>16</v>
      </c>
    </row>
    <row r="112">
      <c r="A112" s="6" t="s">
        <v>30</v>
      </c>
      <c r="B112" s="6">
        <v>2010.0</v>
      </c>
      <c r="C112" s="6">
        <v>557.6533333</v>
      </c>
      <c r="D112" s="6">
        <v>252.5793333</v>
      </c>
      <c r="E112" s="6">
        <v>54.532</v>
      </c>
      <c r="F112" s="6">
        <v>30.60133333</v>
      </c>
      <c r="G112" s="6">
        <v>26.17533333</v>
      </c>
      <c r="H112" s="6">
        <v>1626.742667</v>
      </c>
      <c r="I112" s="6">
        <v>1.541333333</v>
      </c>
      <c r="J112" s="6" t="s">
        <v>16</v>
      </c>
    </row>
    <row r="113">
      <c r="A113" s="6" t="s">
        <v>30</v>
      </c>
      <c r="B113" s="6">
        <v>2011.0</v>
      </c>
      <c r="C113" s="6">
        <v>578.89</v>
      </c>
      <c r="D113" s="6">
        <v>262.365</v>
      </c>
      <c r="E113" s="6">
        <v>58.845</v>
      </c>
      <c r="F113" s="6">
        <v>30.8525</v>
      </c>
      <c r="G113" s="6">
        <v>28.305</v>
      </c>
      <c r="H113" s="6">
        <v>1197.7875</v>
      </c>
      <c r="I113" s="6">
        <v>2.2475</v>
      </c>
      <c r="J113" s="6" t="s">
        <v>16</v>
      </c>
    </row>
    <row r="114">
      <c r="A114" s="6" t="s">
        <v>30</v>
      </c>
      <c r="B114" s="6">
        <v>2012.0</v>
      </c>
      <c r="C114" s="6">
        <v>542.623</v>
      </c>
      <c r="D114" s="6">
        <v>299.206</v>
      </c>
      <c r="E114" s="6">
        <v>48.454</v>
      </c>
      <c r="F114" s="6">
        <v>27.471</v>
      </c>
      <c r="G114" s="6">
        <v>19.249</v>
      </c>
      <c r="H114" s="6">
        <v>1929.226</v>
      </c>
      <c r="I114" s="6">
        <v>2.306</v>
      </c>
      <c r="J114" s="6" t="s">
        <v>16</v>
      </c>
    </row>
    <row r="115">
      <c r="A115" s="6" t="s">
        <v>30</v>
      </c>
      <c r="B115" s="6">
        <v>2013.0</v>
      </c>
      <c r="C115" s="6">
        <v>543.57</v>
      </c>
      <c r="D115" s="6">
        <v>261.1914286</v>
      </c>
      <c r="E115" s="6">
        <v>53.80428571</v>
      </c>
      <c r="F115" s="6">
        <v>25.29</v>
      </c>
      <c r="G115" s="6">
        <v>24.46857143</v>
      </c>
      <c r="H115" s="6">
        <v>1088.364286</v>
      </c>
      <c r="I115" s="6">
        <v>1.625714286</v>
      </c>
      <c r="J115" s="6" t="s">
        <v>16</v>
      </c>
    </row>
    <row r="116">
      <c r="A116" s="6" t="s">
        <v>30</v>
      </c>
      <c r="B116" s="6">
        <v>2014.0</v>
      </c>
      <c r="C116" s="6">
        <v>624.3155556</v>
      </c>
      <c r="D116" s="6">
        <v>288.2322222</v>
      </c>
      <c r="E116" s="6">
        <v>55.65333333</v>
      </c>
      <c r="F116" s="6">
        <v>28.84222222</v>
      </c>
      <c r="G116" s="6">
        <v>26.51111111</v>
      </c>
      <c r="H116" s="6">
        <v>1302.847778</v>
      </c>
      <c r="I116" s="6">
        <v>2.283333333</v>
      </c>
      <c r="J116" s="6" t="s">
        <v>16</v>
      </c>
    </row>
    <row r="117">
      <c r="A117" s="6" t="s">
        <v>30</v>
      </c>
      <c r="B117" s="6">
        <v>2015.0</v>
      </c>
      <c r="C117" s="6">
        <v>347.4677778</v>
      </c>
      <c r="D117" s="6">
        <v>182.4388889</v>
      </c>
      <c r="E117" s="6">
        <v>47.64</v>
      </c>
      <c r="F117" s="6">
        <v>26.65111111</v>
      </c>
      <c r="G117" s="6">
        <v>25.84888889</v>
      </c>
      <c r="H117" s="6">
        <v>1616.388889</v>
      </c>
      <c r="I117" s="6">
        <v>3.206666667</v>
      </c>
      <c r="J117" s="6" t="s">
        <v>28</v>
      </c>
    </row>
    <row r="118">
      <c r="A118" s="6" t="s">
        <v>30</v>
      </c>
      <c r="B118" s="6">
        <v>2016.0</v>
      </c>
      <c r="C118" s="6">
        <v>524.2093333</v>
      </c>
      <c r="D118" s="6">
        <v>289.5946667</v>
      </c>
      <c r="E118" s="6">
        <v>51.64733333</v>
      </c>
      <c r="F118" s="6">
        <v>32.768</v>
      </c>
      <c r="G118" s="6">
        <v>28.11466667</v>
      </c>
      <c r="H118" s="6">
        <v>1755.536667</v>
      </c>
      <c r="I118" s="6">
        <v>3.066</v>
      </c>
      <c r="J118" s="6" t="s">
        <v>16</v>
      </c>
    </row>
    <row r="119">
      <c r="A119" s="6" t="s">
        <v>30</v>
      </c>
      <c r="B119" s="6">
        <v>2017.0</v>
      </c>
      <c r="C119" s="6">
        <v>525.1928571</v>
      </c>
      <c r="D119" s="6">
        <v>299.985</v>
      </c>
      <c r="E119" s="6">
        <v>58.73428571</v>
      </c>
      <c r="F119" s="6">
        <v>30.68357143</v>
      </c>
      <c r="G119" s="6">
        <v>28.44214286</v>
      </c>
      <c r="H119" s="6">
        <v>2011.710714</v>
      </c>
      <c r="I119" s="6">
        <v>2.136428571</v>
      </c>
      <c r="J119" s="6" t="s">
        <v>16</v>
      </c>
    </row>
    <row r="120">
      <c r="A120" s="6" t="s">
        <v>30</v>
      </c>
      <c r="B120" s="6">
        <v>2018.0</v>
      </c>
      <c r="C120" s="6">
        <v>510.1583333</v>
      </c>
      <c r="D120" s="6">
        <v>333.8425</v>
      </c>
      <c r="E120" s="6">
        <v>54.6525</v>
      </c>
      <c r="F120" s="6">
        <v>25.3025</v>
      </c>
      <c r="G120" s="6">
        <v>25.25583333</v>
      </c>
      <c r="H120" s="6">
        <v>1725.075</v>
      </c>
      <c r="I120" s="6">
        <v>2.175833333</v>
      </c>
      <c r="J120" s="6" t="s">
        <v>25</v>
      </c>
    </row>
    <row r="121">
      <c r="A121" s="6" t="s">
        <v>30</v>
      </c>
      <c r="B121" s="6">
        <v>2019.0</v>
      </c>
      <c r="C121" s="6">
        <v>607.9222222</v>
      </c>
      <c r="D121" s="6">
        <v>291.7477778</v>
      </c>
      <c r="E121" s="6">
        <v>56.23888889</v>
      </c>
      <c r="F121" s="6">
        <v>26.22666667</v>
      </c>
      <c r="G121" s="6">
        <v>28.19666667</v>
      </c>
      <c r="H121" s="6">
        <v>1634.894444</v>
      </c>
      <c r="I121" s="6">
        <v>2.55</v>
      </c>
      <c r="J121" s="6" t="s">
        <v>16</v>
      </c>
    </row>
    <row r="122">
      <c r="A122" s="6" t="s">
        <v>30</v>
      </c>
      <c r="B122" s="6">
        <v>2020.0</v>
      </c>
      <c r="C122" s="6">
        <v>415.4814286</v>
      </c>
      <c r="D122" s="6">
        <v>246.5278571</v>
      </c>
      <c r="E122" s="6">
        <v>47.83357143</v>
      </c>
      <c r="F122" s="6">
        <v>28.22571429</v>
      </c>
      <c r="G122" s="6">
        <v>23.76214286</v>
      </c>
      <c r="H122" s="6">
        <v>1845.061429</v>
      </c>
      <c r="I122" s="6">
        <v>2.253571429</v>
      </c>
      <c r="J122" s="6" t="s">
        <v>16</v>
      </c>
    </row>
    <row r="123">
      <c r="A123" s="6" t="s">
        <v>30</v>
      </c>
      <c r="B123" s="6">
        <v>2021.0</v>
      </c>
      <c r="C123" s="6">
        <v>436.1333333</v>
      </c>
      <c r="D123" s="6">
        <v>261.1344444</v>
      </c>
      <c r="E123" s="6">
        <v>40.21666667</v>
      </c>
      <c r="F123" s="6">
        <v>25.81</v>
      </c>
      <c r="G123" s="6">
        <v>26.01111111</v>
      </c>
      <c r="H123" s="6">
        <v>1528.583333</v>
      </c>
      <c r="I123" s="6">
        <v>2.482222222</v>
      </c>
      <c r="J123" s="6" t="s">
        <v>16</v>
      </c>
    </row>
    <row r="124">
      <c r="A124" s="6" t="s">
        <v>30</v>
      </c>
      <c r="B124" s="6">
        <v>2022.0</v>
      </c>
      <c r="C124" s="6">
        <v>528.547</v>
      </c>
      <c r="D124" s="6">
        <v>273.902</v>
      </c>
      <c r="E124" s="6">
        <v>46.55</v>
      </c>
      <c r="F124" s="6">
        <v>26.054</v>
      </c>
      <c r="G124" s="6">
        <v>22.024</v>
      </c>
      <c r="H124" s="6">
        <v>1786.207</v>
      </c>
      <c r="I124" s="6">
        <v>2.078</v>
      </c>
      <c r="J124" s="6" t="s">
        <v>16</v>
      </c>
    </row>
    <row r="125">
      <c r="A125" s="6" t="s">
        <v>30</v>
      </c>
      <c r="B125" s="6">
        <v>2023.0</v>
      </c>
      <c r="C125" s="6">
        <v>369.989</v>
      </c>
      <c r="D125" s="6">
        <v>364.445</v>
      </c>
      <c r="E125" s="6">
        <v>45.533</v>
      </c>
      <c r="F125" s="6">
        <v>26.864</v>
      </c>
      <c r="G125" s="6">
        <v>23.03</v>
      </c>
      <c r="H125" s="6">
        <v>1682.639</v>
      </c>
      <c r="I125" s="6">
        <v>2.361</v>
      </c>
      <c r="J125" s="6" t="s">
        <v>25</v>
      </c>
    </row>
    <row r="126">
      <c r="A126" s="6" t="s">
        <v>30</v>
      </c>
      <c r="B126" s="6">
        <v>2024.0</v>
      </c>
      <c r="C126" s="6">
        <v>507.325</v>
      </c>
      <c r="D126" s="6">
        <v>253.1391667</v>
      </c>
      <c r="E126" s="6">
        <v>50.8875</v>
      </c>
      <c r="F126" s="6">
        <v>25.61</v>
      </c>
      <c r="G126" s="6">
        <v>26.77833333</v>
      </c>
      <c r="H126" s="6">
        <v>1796.505833</v>
      </c>
      <c r="I126" s="6">
        <v>2.5125</v>
      </c>
      <c r="J126" s="6" t="s">
        <v>16</v>
      </c>
    </row>
    <row r="127">
      <c r="A127" s="6" t="s">
        <v>31</v>
      </c>
      <c r="B127" s="6">
        <v>2000.0</v>
      </c>
      <c r="C127" s="6">
        <v>488.93375</v>
      </c>
      <c r="D127" s="6">
        <v>220.8825</v>
      </c>
      <c r="E127" s="6">
        <v>56.37125</v>
      </c>
      <c r="F127" s="6">
        <v>21.8425</v>
      </c>
      <c r="G127" s="6">
        <v>25.03</v>
      </c>
      <c r="H127" s="6">
        <v>1408.97</v>
      </c>
      <c r="I127" s="6">
        <v>3.01875</v>
      </c>
      <c r="J127" s="6" t="s">
        <v>16</v>
      </c>
    </row>
    <row r="128">
      <c r="A128" s="6" t="s">
        <v>31</v>
      </c>
      <c r="B128" s="6">
        <v>2001.0</v>
      </c>
      <c r="C128" s="6">
        <v>521.4983333</v>
      </c>
      <c r="D128" s="6">
        <v>265.4566667</v>
      </c>
      <c r="E128" s="6">
        <v>45.48666667</v>
      </c>
      <c r="F128" s="6">
        <v>24.46083333</v>
      </c>
      <c r="G128" s="6">
        <v>26.88333333</v>
      </c>
      <c r="H128" s="6">
        <v>1611.866667</v>
      </c>
      <c r="I128" s="6">
        <v>2.430833333</v>
      </c>
      <c r="J128" s="6" t="s">
        <v>16</v>
      </c>
    </row>
    <row r="129">
      <c r="A129" s="6" t="s">
        <v>31</v>
      </c>
      <c r="B129" s="6">
        <v>2002.0</v>
      </c>
      <c r="C129" s="6">
        <v>559.8588889</v>
      </c>
      <c r="D129" s="6">
        <v>271.6822222</v>
      </c>
      <c r="E129" s="6">
        <v>43.04444444</v>
      </c>
      <c r="F129" s="6">
        <v>29.07111111</v>
      </c>
      <c r="G129" s="6">
        <v>27.58222222</v>
      </c>
      <c r="H129" s="6">
        <v>1759.964444</v>
      </c>
      <c r="I129" s="6">
        <v>2.898888889</v>
      </c>
      <c r="J129" s="6" t="s">
        <v>16</v>
      </c>
    </row>
    <row r="130">
      <c r="A130" s="6" t="s">
        <v>31</v>
      </c>
      <c r="B130" s="6">
        <v>2003.0</v>
      </c>
      <c r="C130" s="6">
        <v>496.7457143</v>
      </c>
      <c r="D130" s="6">
        <v>355.3864286</v>
      </c>
      <c r="E130" s="6">
        <v>48.725</v>
      </c>
      <c r="F130" s="6">
        <v>27.32714286</v>
      </c>
      <c r="G130" s="6">
        <v>22.945</v>
      </c>
      <c r="H130" s="6">
        <v>1629.193571</v>
      </c>
      <c r="I130" s="6">
        <v>3.2</v>
      </c>
      <c r="J130" s="6" t="s">
        <v>25</v>
      </c>
    </row>
    <row r="131">
      <c r="A131" s="6" t="s">
        <v>31</v>
      </c>
      <c r="B131" s="6">
        <v>2004.0</v>
      </c>
      <c r="C131" s="6">
        <v>639.9192308</v>
      </c>
      <c r="D131" s="6">
        <v>351.1707692</v>
      </c>
      <c r="E131" s="6">
        <v>48.55769231</v>
      </c>
      <c r="F131" s="6">
        <v>28.46</v>
      </c>
      <c r="G131" s="6">
        <v>24.10153846</v>
      </c>
      <c r="H131" s="6">
        <v>1543.357692</v>
      </c>
      <c r="I131" s="6">
        <v>1.962307692</v>
      </c>
      <c r="J131" s="6" t="s">
        <v>25</v>
      </c>
    </row>
    <row r="132">
      <c r="A132" s="6" t="s">
        <v>31</v>
      </c>
      <c r="B132" s="6">
        <v>2005.0</v>
      </c>
      <c r="C132" s="6">
        <v>468.018</v>
      </c>
      <c r="D132" s="6">
        <v>277.3433333</v>
      </c>
      <c r="E132" s="6">
        <v>49.49533333</v>
      </c>
      <c r="F132" s="6">
        <v>21.51133333</v>
      </c>
      <c r="G132" s="6">
        <v>25.398</v>
      </c>
      <c r="H132" s="6">
        <v>1758.994667</v>
      </c>
      <c r="I132" s="6">
        <v>2.709333333</v>
      </c>
      <c r="J132" s="6" t="s">
        <v>16</v>
      </c>
    </row>
    <row r="133">
      <c r="A133" s="6" t="s">
        <v>31</v>
      </c>
      <c r="B133" s="6">
        <v>2006.0</v>
      </c>
      <c r="C133" s="6">
        <v>479.364</v>
      </c>
      <c r="D133" s="6">
        <v>279.85</v>
      </c>
      <c r="E133" s="6">
        <v>46.83</v>
      </c>
      <c r="F133" s="6">
        <v>25.544</v>
      </c>
      <c r="G133" s="6">
        <v>22.986</v>
      </c>
      <c r="H133" s="6">
        <v>1694.736</v>
      </c>
      <c r="I133" s="6">
        <v>2.208</v>
      </c>
      <c r="J133" s="6" t="s">
        <v>16</v>
      </c>
    </row>
    <row r="134">
      <c r="A134" s="6" t="s">
        <v>31</v>
      </c>
      <c r="B134" s="6">
        <v>2007.0</v>
      </c>
      <c r="C134" s="6">
        <v>444.3490909</v>
      </c>
      <c r="D134" s="6">
        <v>287.8509091</v>
      </c>
      <c r="E134" s="6">
        <v>44.73545455</v>
      </c>
      <c r="F134" s="6">
        <v>24.66818182</v>
      </c>
      <c r="G134" s="6">
        <v>22.42545455</v>
      </c>
      <c r="H134" s="6">
        <v>1251.492727</v>
      </c>
      <c r="I134" s="6">
        <v>3.149090909</v>
      </c>
      <c r="J134" s="6" t="s">
        <v>16</v>
      </c>
    </row>
    <row r="135">
      <c r="A135" s="6" t="s">
        <v>31</v>
      </c>
      <c r="B135" s="6">
        <v>2008.0</v>
      </c>
      <c r="C135" s="6">
        <v>581.205</v>
      </c>
      <c r="D135" s="6">
        <v>319.28875</v>
      </c>
      <c r="E135" s="6">
        <v>55.64625</v>
      </c>
      <c r="F135" s="6">
        <v>24.8925</v>
      </c>
      <c r="G135" s="6">
        <v>22.63125</v>
      </c>
      <c r="H135" s="6">
        <v>1219.19125</v>
      </c>
      <c r="I135" s="6">
        <v>3.58</v>
      </c>
      <c r="J135" s="6" t="s">
        <v>25</v>
      </c>
    </row>
    <row r="136">
      <c r="A136" s="6" t="s">
        <v>31</v>
      </c>
      <c r="B136" s="6">
        <v>2009.0</v>
      </c>
      <c r="C136" s="6">
        <v>443.732</v>
      </c>
      <c r="D136" s="6">
        <v>224.906</v>
      </c>
      <c r="E136" s="6">
        <v>54.27</v>
      </c>
      <c r="F136" s="6">
        <v>15.066</v>
      </c>
      <c r="G136" s="6">
        <v>34.202</v>
      </c>
      <c r="H136" s="6">
        <v>1244.022</v>
      </c>
      <c r="I136" s="6">
        <v>1.796</v>
      </c>
      <c r="J136" s="6" t="s">
        <v>16</v>
      </c>
    </row>
    <row r="137">
      <c r="A137" s="6" t="s">
        <v>31</v>
      </c>
      <c r="B137" s="6">
        <v>2010.0</v>
      </c>
      <c r="C137" s="6">
        <v>482.3266667</v>
      </c>
      <c r="D137" s="6">
        <v>236.8355556</v>
      </c>
      <c r="E137" s="6">
        <v>41.79</v>
      </c>
      <c r="F137" s="6">
        <v>22.50333333</v>
      </c>
      <c r="G137" s="6">
        <v>22.83888889</v>
      </c>
      <c r="H137" s="6">
        <v>1691.601111</v>
      </c>
      <c r="I137" s="6">
        <v>2.233333333</v>
      </c>
      <c r="J137" s="6" t="s">
        <v>16</v>
      </c>
    </row>
    <row r="138">
      <c r="A138" s="6" t="s">
        <v>31</v>
      </c>
      <c r="B138" s="6">
        <v>2011.0</v>
      </c>
      <c r="C138" s="6">
        <v>591.6590909</v>
      </c>
      <c r="D138" s="6">
        <v>233.2190909</v>
      </c>
      <c r="E138" s="6">
        <v>46.34818182</v>
      </c>
      <c r="F138" s="6">
        <v>28.80090909</v>
      </c>
      <c r="G138" s="6">
        <v>27.61636364</v>
      </c>
      <c r="H138" s="6">
        <v>1378.642727</v>
      </c>
      <c r="I138" s="6">
        <v>2.286363636</v>
      </c>
      <c r="J138" s="6" t="s">
        <v>16</v>
      </c>
    </row>
    <row r="139">
      <c r="A139" s="6" t="s">
        <v>31</v>
      </c>
      <c r="B139" s="6">
        <v>2012.0</v>
      </c>
      <c r="C139" s="6">
        <v>574.9869231</v>
      </c>
      <c r="D139" s="6">
        <v>333.8</v>
      </c>
      <c r="E139" s="6">
        <v>41.74307692</v>
      </c>
      <c r="F139" s="6">
        <v>29.48923077</v>
      </c>
      <c r="G139" s="6">
        <v>28.30307692</v>
      </c>
      <c r="H139" s="6">
        <v>1242.627692</v>
      </c>
      <c r="I139" s="6">
        <v>2.203846154</v>
      </c>
      <c r="J139" s="6" t="s">
        <v>25</v>
      </c>
    </row>
    <row r="140">
      <c r="A140" s="6" t="s">
        <v>31</v>
      </c>
      <c r="B140" s="6">
        <v>2013.0</v>
      </c>
      <c r="C140" s="6">
        <v>465.4572727</v>
      </c>
      <c r="D140" s="6">
        <v>311.8518182</v>
      </c>
      <c r="E140" s="6">
        <v>52.59636364</v>
      </c>
      <c r="F140" s="6">
        <v>28.76363636</v>
      </c>
      <c r="G140" s="6">
        <v>24.28545455</v>
      </c>
      <c r="H140" s="6">
        <v>1335.797273</v>
      </c>
      <c r="I140" s="6">
        <v>3.513636364</v>
      </c>
      <c r="J140" s="6" t="s">
        <v>25</v>
      </c>
    </row>
    <row r="141">
      <c r="A141" s="6" t="s">
        <v>31</v>
      </c>
      <c r="B141" s="6">
        <v>2014.0</v>
      </c>
      <c r="C141" s="6">
        <v>595.2475</v>
      </c>
      <c r="D141" s="6">
        <v>204.92</v>
      </c>
      <c r="E141" s="6">
        <v>50.2375</v>
      </c>
      <c r="F141" s="6">
        <v>31.2425</v>
      </c>
      <c r="G141" s="6">
        <v>23.81833333</v>
      </c>
      <c r="H141" s="6">
        <v>1743.239167</v>
      </c>
      <c r="I141" s="6">
        <v>2.814166667</v>
      </c>
      <c r="J141" s="6" t="s">
        <v>16</v>
      </c>
    </row>
    <row r="142">
      <c r="A142" s="6" t="s">
        <v>31</v>
      </c>
      <c r="B142" s="6">
        <v>2015.0</v>
      </c>
      <c r="C142" s="6">
        <v>606.3277778</v>
      </c>
      <c r="D142" s="6">
        <v>241.6588889</v>
      </c>
      <c r="E142" s="6">
        <v>44.18888889</v>
      </c>
      <c r="F142" s="6">
        <v>31.35111111</v>
      </c>
      <c r="G142" s="6">
        <v>25.66555556</v>
      </c>
      <c r="H142" s="6">
        <v>1359.15</v>
      </c>
      <c r="I142" s="6">
        <v>3.118888889</v>
      </c>
      <c r="J142" s="6" t="s">
        <v>16</v>
      </c>
    </row>
    <row r="143">
      <c r="A143" s="6" t="s">
        <v>31</v>
      </c>
      <c r="B143" s="6">
        <v>2016.0</v>
      </c>
      <c r="C143" s="6">
        <v>591.9144444</v>
      </c>
      <c r="D143" s="6">
        <v>308.6388889</v>
      </c>
      <c r="E143" s="6">
        <v>45.31666667</v>
      </c>
      <c r="F143" s="6">
        <v>28.64666667</v>
      </c>
      <c r="G143" s="6">
        <v>28.17777778</v>
      </c>
      <c r="H143" s="6">
        <v>1470.991111</v>
      </c>
      <c r="I143" s="6">
        <v>2.65</v>
      </c>
      <c r="J143" s="6" t="s">
        <v>25</v>
      </c>
    </row>
    <row r="144">
      <c r="A144" s="6" t="s">
        <v>31</v>
      </c>
      <c r="B144" s="6">
        <v>2017.0</v>
      </c>
      <c r="C144" s="6">
        <v>462.96</v>
      </c>
      <c r="D144" s="6">
        <v>251.9933333</v>
      </c>
      <c r="E144" s="6">
        <v>46.40444444</v>
      </c>
      <c r="F144" s="6">
        <v>26.21444444</v>
      </c>
      <c r="G144" s="6">
        <v>26.85111111</v>
      </c>
      <c r="H144" s="6">
        <v>1857.62</v>
      </c>
      <c r="I144" s="6">
        <v>3.065555556</v>
      </c>
      <c r="J144" s="6" t="s">
        <v>16</v>
      </c>
    </row>
    <row r="145">
      <c r="A145" s="6" t="s">
        <v>31</v>
      </c>
      <c r="B145" s="6">
        <v>2018.0</v>
      </c>
      <c r="C145" s="6">
        <v>634.2688889</v>
      </c>
      <c r="D145" s="6">
        <v>220.4866667</v>
      </c>
      <c r="E145" s="6">
        <v>47.54777778</v>
      </c>
      <c r="F145" s="6">
        <v>29.30666667</v>
      </c>
      <c r="G145" s="6">
        <v>25.22111111</v>
      </c>
      <c r="H145" s="6">
        <v>1299.051111</v>
      </c>
      <c r="I145" s="6">
        <v>2.135555556</v>
      </c>
      <c r="J145" s="6" t="s">
        <v>16</v>
      </c>
    </row>
    <row r="146">
      <c r="A146" s="6" t="s">
        <v>31</v>
      </c>
      <c r="B146" s="6">
        <v>2019.0</v>
      </c>
      <c r="C146" s="6">
        <v>426.8733333</v>
      </c>
      <c r="D146" s="6">
        <v>371.6666667</v>
      </c>
      <c r="E146" s="6">
        <v>54.625</v>
      </c>
      <c r="F146" s="6">
        <v>33.6</v>
      </c>
      <c r="G146" s="6">
        <v>24.49833333</v>
      </c>
      <c r="H146" s="6">
        <v>1767.771667</v>
      </c>
      <c r="I146" s="6">
        <v>2.816666667</v>
      </c>
      <c r="J146" s="6" t="s">
        <v>25</v>
      </c>
    </row>
    <row r="147">
      <c r="A147" s="6" t="s">
        <v>31</v>
      </c>
      <c r="B147" s="6">
        <v>2020.0</v>
      </c>
      <c r="C147" s="6">
        <v>350.044</v>
      </c>
      <c r="D147" s="6">
        <v>284.768</v>
      </c>
      <c r="E147" s="6">
        <v>55.97666667</v>
      </c>
      <c r="F147" s="6">
        <v>32.71933333</v>
      </c>
      <c r="G147" s="6">
        <v>25.42266667</v>
      </c>
      <c r="H147" s="6">
        <v>1520.140667</v>
      </c>
      <c r="I147" s="6">
        <v>1.996</v>
      </c>
      <c r="J147" s="6" t="s">
        <v>16</v>
      </c>
    </row>
    <row r="148">
      <c r="A148" s="6" t="s">
        <v>31</v>
      </c>
      <c r="B148" s="6">
        <v>2021.0</v>
      </c>
      <c r="C148" s="6">
        <v>564.2745455</v>
      </c>
      <c r="D148" s="6">
        <v>236.3118182</v>
      </c>
      <c r="E148" s="6">
        <v>51.02</v>
      </c>
      <c r="F148" s="6">
        <v>23.17181818</v>
      </c>
      <c r="G148" s="6">
        <v>26.48727273</v>
      </c>
      <c r="H148" s="6">
        <v>1469.8</v>
      </c>
      <c r="I148" s="6">
        <v>2.189090909</v>
      </c>
      <c r="J148" s="6" t="s">
        <v>16</v>
      </c>
    </row>
    <row r="149">
      <c r="A149" s="6" t="s">
        <v>31</v>
      </c>
      <c r="B149" s="6">
        <v>2022.0</v>
      </c>
      <c r="C149" s="6">
        <v>474.2736364</v>
      </c>
      <c r="D149" s="6">
        <v>208.1090909</v>
      </c>
      <c r="E149" s="6">
        <v>49.97818182</v>
      </c>
      <c r="F149" s="6">
        <v>25.19363636</v>
      </c>
      <c r="G149" s="6">
        <v>20.55363636</v>
      </c>
      <c r="H149" s="6">
        <v>1067.060909</v>
      </c>
      <c r="I149" s="6">
        <v>2.716363636</v>
      </c>
      <c r="J149" s="6" t="s">
        <v>16</v>
      </c>
    </row>
    <row r="150">
      <c r="A150" s="6" t="s">
        <v>31</v>
      </c>
      <c r="B150" s="6">
        <v>2023.0</v>
      </c>
      <c r="C150" s="6">
        <v>280.6042857</v>
      </c>
      <c r="D150" s="6">
        <v>291.0928571</v>
      </c>
      <c r="E150" s="6">
        <v>56.83285714</v>
      </c>
      <c r="F150" s="6">
        <v>18.27857143</v>
      </c>
      <c r="G150" s="6">
        <v>24.55428571</v>
      </c>
      <c r="H150" s="6">
        <v>1516.63</v>
      </c>
      <c r="I150" s="6">
        <v>2.277142857</v>
      </c>
      <c r="J150" s="6" t="s">
        <v>16</v>
      </c>
    </row>
    <row r="151">
      <c r="A151" s="6" t="s">
        <v>31</v>
      </c>
      <c r="B151" s="6">
        <v>2024.0</v>
      </c>
      <c r="C151" s="6">
        <v>371.2733333</v>
      </c>
      <c r="D151" s="6">
        <v>262.0233333</v>
      </c>
      <c r="E151" s="6">
        <v>39.64666667</v>
      </c>
      <c r="F151" s="6">
        <v>21.28</v>
      </c>
      <c r="G151" s="6">
        <v>24.01333333</v>
      </c>
      <c r="H151" s="6">
        <v>1786.175</v>
      </c>
      <c r="I151" s="6">
        <v>3.071666667</v>
      </c>
      <c r="J151" s="6" t="s">
        <v>16</v>
      </c>
    </row>
    <row r="152">
      <c r="A152" s="6" t="s">
        <v>32</v>
      </c>
      <c r="B152" s="6">
        <v>2000.0</v>
      </c>
      <c r="C152" s="6">
        <v>215.224</v>
      </c>
      <c r="D152" s="6">
        <v>294.826</v>
      </c>
      <c r="E152" s="6">
        <v>43.592</v>
      </c>
      <c r="F152" s="6">
        <v>30.644</v>
      </c>
      <c r="G152" s="6">
        <v>28.184</v>
      </c>
      <c r="H152" s="6">
        <v>1112.872</v>
      </c>
      <c r="I152" s="6">
        <v>3.1</v>
      </c>
      <c r="J152" s="6" t="s">
        <v>16</v>
      </c>
    </row>
    <row r="153">
      <c r="A153" s="6" t="s">
        <v>32</v>
      </c>
      <c r="B153" s="6">
        <v>2001.0</v>
      </c>
      <c r="C153" s="6">
        <v>646.4285714</v>
      </c>
      <c r="D153" s="6">
        <v>274.7657143</v>
      </c>
      <c r="E153" s="6">
        <v>46.67285714</v>
      </c>
      <c r="F153" s="6">
        <v>31.13285714</v>
      </c>
      <c r="G153" s="6">
        <v>28.46285714</v>
      </c>
      <c r="H153" s="6">
        <v>1664.31</v>
      </c>
      <c r="I153" s="6">
        <v>2.58</v>
      </c>
      <c r="J153" s="6" t="s">
        <v>16</v>
      </c>
    </row>
    <row r="154">
      <c r="A154" s="6" t="s">
        <v>32</v>
      </c>
      <c r="B154" s="6">
        <v>2002.0</v>
      </c>
      <c r="C154" s="6">
        <v>569.154</v>
      </c>
      <c r="D154" s="6">
        <v>289.43</v>
      </c>
      <c r="E154" s="6">
        <v>53.094</v>
      </c>
      <c r="F154" s="6">
        <v>25.012</v>
      </c>
      <c r="G154" s="6">
        <v>27.314</v>
      </c>
      <c r="H154" s="6">
        <v>2031.092</v>
      </c>
      <c r="I154" s="6">
        <v>1.803</v>
      </c>
      <c r="J154" s="6" t="s">
        <v>16</v>
      </c>
    </row>
    <row r="155">
      <c r="A155" s="6" t="s">
        <v>32</v>
      </c>
      <c r="B155" s="6">
        <v>2003.0</v>
      </c>
      <c r="C155" s="6">
        <v>727.987</v>
      </c>
      <c r="D155" s="6">
        <v>289.484</v>
      </c>
      <c r="E155" s="6">
        <v>38.056</v>
      </c>
      <c r="F155" s="6">
        <v>29.648</v>
      </c>
      <c r="G155" s="6">
        <v>24.222</v>
      </c>
      <c r="H155" s="6">
        <v>1384.207</v>
      </c>
      <c r="I155" s="6">
        <v>2.231</v>
      </c>
      <c r="J155" s="6" t="s">
        <v>16</v>
      </c>
    </row>
    <row r="156">
      <c r="A156" s="6" t="s">
        <v>32</v>
      </c>
      <c r="B156" s="6">
        <v>2004.0</v>
      </c>
      <c r="C156" s="6">
        <v>436.425</v>
      </c>
      <c r="D156" s="6">
        <v>178.7675</v>
      </c>
      <c r="E156" s="6">
        <v>34.9675</v>
      </c>
      <c r="F156" s="6">
        <v>40.955</v>
      </c>
      <c r="G156" s="6">
        <v>29.1275</v>
      </c>
      <c r="H156" s="6">
        <v>700.23</v>
      </c>
      <c r="I156" s="6">
        <v>2.3675</v>
      </c>
      <c r="J156" s="6" t="s">
        <v>28</v>
      </c>
    </row>
    <row r="157">
      <c r="A157" s="6" t="s">
        <v>32</v>
      </c>
      <c r="B157" s="6">
        <v>2005.0</v>
      </c>
      <c r="C157" s="6">
        <v>356.9516667</v>
      </c>
      <c r="D157" s="6">
        <v>272.4358333</v>
      </c>
      <c r="E157" s="6">
        <v>48.36916667</v>
      </c>
      <c r="F157" s="6">
        <v>26.52</v>
      </c>
      <c r="G157" s="6">
        <v>21.9375</v>
      </c>
      <c r="H157" s="6">
        <v>1777.863333</v>
      </c>
      <c r="I157" s="6">
        <v>3.26</v>
      </c>
      <c r="J157" s="6" t="s">
        <v>16</v>
      </c>
    </row>
    <row r="158">
      <c r="A158" s="6" t="s">
        <v>32</v>
      </c>
      <c r="B158" s="6">
        <v>2006.0</v>
      </c>
      <c r="C158" s="6">
        <v>519.47</v>
      </c>
      <c r="D158" s="6">
        <v>297.8015385</v>
      </c>
      <c r="E158" s="6">
        <v>53.29538462</v>
      </c>
      <c r="F158" s="6">
        <v>32.12384615</v>
      </c>
      <c r="G158" s="6">
        <v>25.04230769</v>
      </c>
      <c r="H158" s="6">
        <v>1911.536923</v>
      </c>
      <c r="I158" s="6">
        <v>2.576923077</v>
      </c>
      <c r="J158" s="6" t="s">
        <v>16</v>
      </c>
    </row>
    <row r="159">
      <c r="A159" s="6" t="s">
        <v>32</v>
      </c>
      <c r="B159" s="6">
        <v>2007.0</v>
      </c>
      <c r="C159" s="6">
        <v>603.3772727</v>
      </c>
      <c r="D159" s="6">
        <v>287.8272727</v>
      </c>
      <c r="E159" s="6">
        <v>58.75636364</v>
      </c>
      <c r="F159" s="6">
        <v>24.86090909</v>
      </c>
      <c r="G159" s="6">
        <v>26.43363636</v>
      </c>
      <c r="H159" s="6">
        <v>1477.133636</v>
      </c>
      <c r="I159" s="6">
        <v>2.460909091</v>
      </c>
      <c r="J159" s="6" t="s">
        <v>16</v>
      </c>
    </row>
    <row r="160">
      <c r="A160" s="6" t="s">
        <v>32</v>
      </c>
      <c r="B160" s="6">
        <v>2008.0</v>
      </c>
      <c r="C160" s="6">
        <v>625.7871429</v>
      </c>
      <c r="D160" s="6">
        <v>285.2742857</v>
      </c>
      <c r="E160" s="6">
        <v>47.80714286</v>
      </c>
      <c r="F160" s="6">
        <v>35.81</v>
      </c>
      <c r="G160" s="6">
        <v>20.66714286</v>
      </c>
      <c r="H160" s="6">
        <v>1724.527143</v>
      </c>
      <c r="I160" s="6">
        <v>1.632857143</v>
      </c>
      <c r="J160" s="6" t="s">
        <v>16</v>
      </c>
    </row>
    <row r="161">
      <c r="A161" s="6" t="s">
        <v>32</v>
      </c>
      <c r="B161" s="6">
        <v>2009.0</v>
      </c>
      <c r="C161" s="6">
        <v>129.6366667</v>
      </c>
      <c r="D161" s="6">
        <v>266.55</v>
      </c>
      <c r="E161" s="6">
        <v>47.27666667</v>
      </c>
      <c r="F161" s="6">
        <v>29.82</v>
      </c>
      <c r="G161" s="6">
        <v>13.82333333</v>
      </c>
      <c r="H161" s="6">
        <v>1329.656667</v>
      </c>
      <c r="I161" s="6">
        <v>2.166666667</v>
      </c>
      <c r="J161" s="6" t="s">
        <v>16</v>
      </c>
    </row>
    <row r="162">
      <c r="A162" s="6" t="s">
        <v>32</v>
      </c>
      <c r="B162" s="6">
        <v>2010.0</v>
      </c>
      <c r="C162" s="6">
        <v>322.49</v>
      </c>
      <c r="D162" s="6">
        <v>263.3571429</v>
      </c>
      <c r="E162" s="6">
        <v>43.07142857</v>
      </c>
      <c r="F162" s="6">
        <v>27.53</v>
      </c>
      <c r="G162" s="6">
        <v>23.22857143</v>
      </c>
      <c r="H162" s="6">
        <v>1013.737143</v>
      </c>
      <c r="I162" s="6">
        <v>1.607142857</v>
      </c>
      <c r="J162" s="6" t="s">
        <v>16</v>
      </c>
    </row>
    <row r="163">
      <c r="A163" s="6" t="s">
        <v>32</v>
      </c>
      <c r="B163" s="6">
        <v>2011.0</v>
      </c>
      <c r="C163" s="6">
        <v>613.3222222</v>
      </c>
      <c r="D163" s="6">
        <v>184.7377778</v>
      </c>
      <c r="E163" s="6">
        <v>39.73333333</v>
      </c>
      <c r="F163" s="6">
        <v>23.77888889</v>
      </c>
      <c r="G163" s="6">
        <v>23.37777778</v>
      </c>
      <c r="H163" s="6">
        <v>1436.822222</v>
      </c>
      <c r="I163" s="6">
        <v>3.415555556</v>
      </c>
      <c r="J163" s="6" t="s">
        <v>28</v>
      </c>
    </row>
    <row r="164">
      <c r="A164" s="6" t="s">
        <v>32</v>
      </c>
      <c r="B164" s="6">
        <v>2012.0</v>
      </c>
      <c r="C164" s="6">
        <v>496.1746667</v>
      </c>
      <c r="D164" s="6">
        <v>274.8626667</v>
      </c>
      <c r="E164" s="6">
        <v>46.56466667</v>
      </c>
      <c r="F164" s="6">
        <v>20.73533333</v>
      </c>
      <c r="G164" s="6">
        <v>26.72066667</v>
      </c>
      <c r="H164" s="6">
        <v>1663.107333</v>
      </c>
      <c r="I164" s="6">
        <v>3.073333333</v>
      </c>
      <c r="J164" s="6" t="s">
        <v>16</v>
      </c>
    </row>
    <row r="165">
      <c r="A165" s="6" t="s">
        <v>32</v>
      </c>
      <c r="B165" s="6">
        <v>2013.0</v>
      </c>
      <c r="C165" s="6">
        <v>373.52</v>
      </c>
      <c r="D165" s="6">
        <v>350.7085714</v>
      </c>
      <c r="E165" s="6">
        <v>58.90142857</v>
      </c>
      <c r="F165" s="6">
        <v>30.94142857</v>
      </c>
      <c r="G165" s="6">
        <v>27.59</v>
      </c>
      <c r="H165" s="6">
        <v>1651.584286</v>
      </c>
      <c r="I165" s="6">
        <v>2.021428571</v>
      </c>
      <c r="J165" s="6" t="s">
        <v>25</v>
      </c>
    </row>
    <row r="166">
      <c r="A166" s="6" t="s">
        <v>32</v>
      </c>
      <c r="B166" s="6">
        <v>2014.0</v>
      </c>
      <c r="C166" s="6">
        <v>531.3715385</v>
      </c>
      <c r="D166" s="6">
        <v>222.1376923</v>
      </c>
      <c r="E166" s="6">
        <v>51.77230769</v>
      </c>
      <c r="F166" s="6">
        <v>23.62461538</v>
      </c>
      <c r="G166" s="6">
        <v>20.43615385</v>
      </c>
      <c r="H166" s="6">
        <v>1711.955385</v>
      </c>
      <c r="I166" s="6">
        <v>3.820769231</v>
      </c>
      <c r="J166" s="6" t="s">
        <v>16</v>
      </c>
    </row>
    <row r="167">
      <c r="A167" s="6" t="s">
        <v>32</v>
      </c>
      <c r="B167" s="6">
        <v>2015.0</v>
      </c>
      <c r="C167" s="6">
        <v>660.48</v>
      </c>
      <c r="D167" s="6">
        <v>325.885</v>
      </c>
      <c r="E167" s="6">
        <v>41.15833333</v>
      </c>
      <c r="F167" s="6">
        <v>18.99666667</v>
      </c>
      <c r="G167" s="6">
        <v>22.03833333</v>
      </c>
      <c r="H167" s="6">
        <v>1783.005</v>
      </c>
      <c r="I167" s="6">
        <v>1.963333333</v>
      </c>
      <c r="J167" s="6" t="s">
        <v>25</v>
      </c>
    </row>
    <row r="168">
      <c r="A168" s="6" t="s">
        <v>32</v>
      </c>
      <c r="B168" s="6">
        <v>2016.0</v>
      </c>
      <c r="C168" s="6">
        <v>528.5615385</v>
      </c>
      <c r="D168" s="6">
        <v>275.1153846</v>
      </c>
      <c r="E168" s="6">
        <v>45.71384615</v>
      </c>
      <c r="F168" s="6">
        <v>26.94307692</v>
      </c>
      <c r="G168" s="6">
        <v>17.56</v>
      </c>
      <c r="H168" s="6">
        <v>1593.666923</v>
      </c>
      <c r="I168" s="6">
        <v>2.963846154</v>
      </c>
      <c r="J168" s="6" t="s">
        <v>16</v>
      </c>
    </row>
    <row r="169">
      <c r="A169" s="6" t="s">
        <v>32</v>
      </c>
      <c r="B169" s="6">
        <v>2017.0</v>
      </c>
      <c r="C169" s="6">
        <v>548.83125</v>
      </c>
      <c r="D169" s="6">
        <v>211.255</v>
      </c>
      <c r="E169" s="6">
        <v>44.12</v>
      </c>
      <c r="F169" s="6">
        <v>33.53875</v>
      </c>
      <c r="G169" s="6">
        <v>24.8825</v>
      </c>
      <c r="H169" s="6">
        <v>1364.22625</v>
      </c>
      <c r="I169" s="6">
        <v>2.8675</v>
      </c>
      <c r="J169" s="6" t="s">
        <v>16</v>
      </c>
    </row>
    <row r="170">
      <c r="A170" s="6" t="s">
        <v>32</v>
      </c>
      <c r="B170" s="6">
        <v>2018.0</v>
      </c>
      <c r="C170" s="6">
        <v>514.1881818</v>
      </c>
      <c r="D170" s="6">
        <v>285.7018182</v>
      </c>
      <c r="E170" s="6">
        <v>46.78272727</v>
      </c>
      <c r="F170" s="6">
        <v>30.7</v>
      </c>
      <c r="G170" s="6">
        <v>25.52363636</v>
      </c>
      <c r="H170" s="6">
        <v>1293.692727</v>
      </c>
      <c r="I170" s="6">
        <v>3.062727273</v>
      </c>
      <c r="J170" s="6" t="s">
        <v>16</v>
      </c>
    </row>
    <row r="171">
      <c r="A171" s="6" t="s">
        <v>32</v>
      </c>
      <c r="B171" s="6">
        <v>2019.0</v>
      </c>
      <c r="C171" s="6">
        <v>531.1414286</v>
      </c>
      <c r="D171" s="6">
        <v>287.0771429</v>
      </c>
      <c r="E171" s="6">
        <v>42.09428571</v>
      </c>
      <c r="F171" s="6">
        <v>30.03285714</v>
      </c>
      <c r="G171" s="6">
        <v>24.45</v>
      </c>
      <c r="H171" s="6">
        <v>1919.274286</v>
      </c>
      <c r="I171" s="6">
        <v>2.458571429</v>
      </c>
      <c r="J171" s="6" t="s">
        <v>16</v>
      </c>
    </row>
    <row r="172">
      <c r="A172" s="6" t="s">
        <v>32</v>
      </c>
      <c r="B172" s="6">
        <v>2020.0</v>
      </c>
      <c r="C172" s="6">
        <v>648.9569231</v>
      </c>
      <c r="D172" s="6">
        <v>294.7538462</v>
      </c>
      <c r="E172" s="6">
        <v>44.64384615</v>
      </c>
      <c r="F172" s="6">
        <v>30.8</v>
      </c>
      <c r="G172" s="6">
        <v>23.62307692</v>
      </c>
      <c r="H172" s="6">
        <v>1532.419231</v>
      </c>
      <c r="I172" s="6">
        <v>2.343076923</v>
      </c>
      <c r="J172" s="6" t="s">
        <v>16</v>
      </c>
    </row>
    <row r="173">
      <c r="A173" s="6" t="s">
        <v>32</v>
      </c>
      <c r="B173" s="6">
        <v>2021.0</v>
      </c>
      <c r="C173" s="6">
        <v>425.7872727</v>
      </c>
      <c r="D173" s="6">
        <v>264.1345455</v>
      </c>
      <c r="E173" s="6">
        <v>47.39818182</v>
      </c>
      <c r="F173" s="6">
        <v>30.96818182</v>
      </c>
      <c r="G173" s="6">
        <v>23.85545455</v>
      </c>
      <c r="H173" s="6">
        <v>1441.611818</v>
      </c>
      <c r="I173" s="6">
        <v>2.3</v>
      </c>
      <c r="J173" s="6" t="s">
        <v>16</v>
      </c>
    </row>
    <row r="174">
      <c r="A174" s="6" t="s">
        <v>32</v>
      </c>
      <c r="B174" s="6">
        <v>2022.0</v>
      </c>
      <c r="C174" s="6">
        <v>528.0978571</v>
      </c>
      <c r="D174" s="6">
        <v>281.5335714</v>
      </c>
      <c r="E174" s="6">
        <v>52.33571429</v>
      </c>
      <c r="F174" s="6">
        <v>26.935</v>
      </c>
      <c r="G174" s="6">
        <v>24.12071429</v>
      </c>
      <c r="H174" s="6">
        <v>1676.251429</v>
      </c>
      <c r="I174" s="6">
        <v>2.732142857</v>
      </c>
      <c r="J174" s="6" t="s">
        <v>16</v>
      </c>
    </row>
    <row r="175">
      <c r="A175" s="6" t="s">
        <v>32</v>
      </c>
      <c r="B175" s="6">
        <v>2023.0</v>
      </c>
      <c r="C175" s="6">
        <v>564.022</v>
      </c>
      <c r="D175" s="6">
        <v>248.521</v>
      </c>
      <c r="E175" s="6">
        <v>53.012</v>
      </c>
      <c r="F175" s="6">
        <v>28.683</v>
      </c>
      <c r="G175" s="6">
        <v>25.183</v>
      </c>
      <c r="H175" s="6">
        <v>1637.84</v>
      </c>
      <c r="I175" s="6">
        <v>2.626</v>
      </c>
      <c r="J175" s="6" t="s">
        <v>16</v>
      </c>
    </row>
    <row r="176">
      <c r="A176" s="6" t="s">
        <v>32</v>
      </c>
      <c r="B176" s="6">
        <v>2024.0</v>
      </c>
      <c r="C176" s="6">
        <v>551.2027273</v>
      </c>
      <c r="D176" s="6">
        <v>253.6290909</v>
      </c>
      <c r="E176" s="6">
        <v>55.76909091</v>
      </c>
      <c r="F176" s="6">
        <v>25.41545455</v>
      </c>
      <c r="G176" s="6">
        <v>23.27363636</v>
      </c>
      <c r="H176" s="6">
        <v>916.2636364</v>
      </c>
      <c r="I176" s="6">
        <v>3.237272727</v>
      </c>
      <c r="J176" s="6" t="s">
        <v>16</v>
      </c>
    </row>
    <row r="177">
      <c r="A177" s="6" t="s">
        <v>33</v>
      </c>
      <c r="B177" s="6">
        <v>2000.0</v>
      </c>
      <c r="C177" s="6">
        <v>422.3925</v>
      </c>
      <c r="D177" s="6">
        <v>404.35</v>
      </c>
      <c r="E177" s="6">
        <v>37.4875</v>
      </c>
      <c r="F177" s="6">
        <v>39.08</v>
      </c>
      <c r="G177" s="6">
        <v>23.735</v>
      </c>
      <c r="H177" s="6">
        <v>1568.955</v>
      </c>
      <c r="I177" s="6">
        <v>2.265</v>
      </c>
      <c r="J177" s="6" t="s">
        <v>25</v>
      </c>
    </row>
    <row r="178">
      <c r="A178" s="6" t="s">
        <v>33</v>
      </c>
      <c r="B178" s="6">
        <v>2001.0</v>
      </c>
      <c r="C178" s="6">
        <v>478.7561538</v>
      </c>
      <c r="D178" s="6">
        <v>200.8846154</v>
      </c>
      <c r="E178" s="6">
        <v>59.99</v>
      </c>
      <c r="F178" s="6">
        <v>20.73461538</v>
      </c>
      <c r="G178" s="6">
        <v>25.14</v>
      </c>
      <c r="H178" s="6">
        <v>1766.200769</v>
      </c>
      <c r="I178" s="6">
        <v>3.038461538</v>
      </c>
      <c r="J178" s="6" t="s">
        <v>16</v>
      </c>
    </row>
    <row r="179">
      <c r="A179" s="6" t="s">
        <v>33</v>
      </c>
      <c r="B179" s="6">
        <v>2002.0</v>
      </c>
      <c r="C179" s="6">
        <v>344.7375</v>
      </c>
      <c r="D179" s="6">
        <v>333.9275</v>
      </c>
      <c r="E179" s="6">
        <v>44.505</v>
      </c>
      <c r="F179" s="6">
        <v>26.87375</v>
      </c>
      <c r="G179" s="6">
        <v>25.98875</v>
      </c>
      <c r="H179" s="6">
        <v>1603.475</v>
      </c>
      <c r="I179" s="6">
        <v>1.89</v>
      </c>
      <c r="J179" s="6" t="s">
        <v>25</v>
      </c>
    </row>
    <row r="180">
      <c r="A180" s="6" t="s">
        <v>33</v>
      </c>
      <c r="B180" s="6">
        <v>2003.0</v>
      </c>
      <c r="C180" s="6">
        <v>455.10375</v>
      </c>
      <c r="D180" s="6">
        <v>298.295</v>
      </c>
      <c r="E180" s="6">
        <v>46.62625</v>
      </c>
      <c r="F180" s="6">
        <v>25.02</v>
      </c>
      <c r="G180" s="6">
        <v>23.38</v>
      </c>
      <c r="H180" s="6">
        <v>2220.125</v>
      </c>
      <c r="I180" s="6">
        <v>2.235</v>
      </c>
      <c r="J180" s="6" t="s">
        <v>16</v>
      </c>
    </row>
    <row r="181">
      <c r="A181" s="6" t="s">
        <v>33</v>
      </c>
      <c r="B181" s="6">
        <v>2004.0</v>
      </c>
      <c r="C181" s="6">
        <v>450.94</v>
      </c>
      <c r="D181" s="6">
        <v>228.80875</v>
      </c>
      <c r="E181" s="6">
        <v>52.235</v>
      </c>
      <c r="F181" s="6">
        <v>21.03875</v>
      </c>
      <c r="G181" s="6">
        <v>26.45125</v>
      </c>
      <c r="H181" s="6">
        <v>1353.02875</v>
      </c>
      <c r="I181" s="6">
        <v>2.3575</v>
      </c>
      <c r="J181" s="6" t="s">
        <v>16</v>
      </c>
    </row>
    <row r="182">
      <c r="A182" s="6" t="s">
        <v>33</v>
      </c>
      <c r="B182" s="6">
        <v>2005.0</v>
      </c>
      <c r="C182" s="6">
        <v>479.3322222</v>
      </c>
      <c r="D182" s="6">
        <v>338.3655556</v>
      </c>
      <c r="E182" s="6">
        <v>51.53333333</v>
      </c>
      <c r="F182" s="6">
        <v>28.48555556</v>
      </c>
      <c r="G182" s="6">
        <v>23.52222222</v>
      </c>
      <c r="H182" s="6">
        <v>1663.057778</v>
      </c>
      <c r="I182" s="6">
        <v>2.076666667</v>
      </c>
      <c r="J182" s="6" t="s">
        <v>25</v>
      </c>
    </row>
    <row r="183">
      <c r="A183" s="6" t="s">
        <v>33</v>
      </c>
      <c r="B183" s="6">
        <v>2006.0</v>
      </c>
      <c r="C183" s="6">
        <v>603.7157143</v>
      </c>
      <c r="D183" s="6">
        <v>269.3114286</v>
      </c>
      <c r="E183" s="6">
        <v>52.88571429</v>
      </c>
      <c r="F183" s="6">
        <v>24.80142857</v>
      </c>
      <c r="G183" s="6">
        <v>19.36714286</v>
      </c>
      <c r="H183" s="6">
        <v>1877.765714</v>
      </c>
      <c r="I183" s="6">
        <v>3.242857143</v>
      </c>
      <c r="J183" s="6" t="s">
        <v>16</v>
      </c>
    </row>
    <row r="184">
      <c r="A184" s="6" t="s">
        <v>33</v>
      </c>
      <c r="B184" s="6">
        <v>2007.0</v>
      </c>
      <c r="C184" s="6">
        <v>438.1342857</v>
      </c>
      <c r="D184" s="6">
        <v>381.5571429</v>
      </c>
      <c r="E184" s="6">
        <v>40.76285714</v>
      </c>
      <c r="F184" s="6">
        <v>32.83571429</v>
      </c>
      <c r="G184" s="6">
        <v>25.37285714</v>
      </c>
      <c r="H184" s="6">
        <v>1676.654286</v>
      </c>
      <c r="I184" s="6">
        <v>1.787142857</v>
      </c>
      <c r="J184" s="6" t="s">
        <v>25</v>
      </c>
    </row>
    <row r="185">
      <c r="A185" s="6" t="s">
        <v>33</v>
      </c>
      <c r="B185" s="6">
        <v>2008.0</v>
      </c>
      <c r="C185" s="6">
        <v>629.8133333</v>
      </c>
      <c r="D185" s="6">
        <v>341.8922222</v>
      </c>
      <c r="E185" s="6">
        <v>46.10222222</v>
      </c>
      <c r="F185" s="6">
        <v>35.65222222</v>
      </c>
      <c r="G185" s="6">
        <v>19.91</v>
      </c>
      <c r="H185" s="6">
        <v>2011.234444</v>
      </c>
      <c r="I185" s="6">
        <v>3.021111111</v>
      </c>
      <c r="J185" s="6" t="s">
        <v>25</v>
      </c>
    </row>
    <row r="186">
      <c r="A186" s="6" t="s">
        <v>33</v>
      </c>
      <c r="B186" s="6">
        <v>2009.0</v>
      </c>
      <c r="C186" s="6">
        <v>558.145</v>
      </c>
      <c r="D186" s="6">
        <v>223.319</v>
      </c>
      <c r="E186" s="6">
        <v>43.687</v>
      </c>
      <c r="F186" s="6">
        <v>26.604</v>
      </c>
      <c r="G186" s="6">
        <v>25.576</v>
      </c>
      <c r="H186" s="6">
        <v>1710.032</v>
      </c>
      <c r="I186" s="6">
        <v>2.351</v>
      </c>
      <c r="J186" s="6" t="s">
        <v>16</v>
      </c>
    </row>
    <row r="187">
      <c r="A187" s="6" t="s">
        <v>33</v>
      </c>
      <c r="B187" s="6">
        <v>2010.0</v>
      </c>
      <c r="C187" s="6">
        <v>525.5208333</v>
      </c>
      <c r="D187" s="6">
        <v>316.4225</v>
      </c>
      <c r="E187" s="6">
        <v>52.28833333</v>
      </c>
      <c r="F187" s="6">
        <v>23.4525</v>
      </c>
      <c r="G187" s="6">
        <v>23.13333333</v>
      </c>
      <c r="H187" s="6">
        <v>1320.158333</v>
      </c>
      <c r="I187" s="6">
        <v>1.718333333</v>
      </c>
      <c r="J187" s="6" t="s">
        <v>25</v>
      </c>
    </row>
    <row r="188">
      <c r="A188" s="6" t="s">
        <v>33</v>
      </c>
      <c r="B188" s="6">
        <v>2011.0</v>
      </c>
      <c r="C188" s="6">
        <v>715.1671429</v>
      </c>
      <c r="D188" s="6">
        <v>269.5357143</v>
      </c>
      <c r="E188" s="6">
        <v>65.79142857</v>
      </c>
      <c r="F188" s="6">
        <v>30.23571429</v>
      </c>
      <c r="G188" s="6">
        <v>28.43142857</v>
      </c>
      <c r="H188" s="6">
        <v>1213.161429</v>
      </c>
      <c r="I188" s="6">
        <v>3.002857143</v>
      </c>
      <c r="J188" s="6" t="s">
        <v>16</v>
      </c>
    </row>
    <row r="189">
      <c r="A189" s="6" t="s">
        <v>33</v>
      </c>
      <c r="B189" s="6">
        <v>2012.0</v>
      </c>
      <c r="C189" s="6">
        <v>598.0823077</v>
      </c>
      <c r="D189" s="6">
        <v>328.2092308</v>
      </c>
      <c r="E189" s="6">
        <v>49.09153846</v>
      </c>
      <c r="F189" s="6">
        <v>27.76</v>
      </c>
      <c r="G189" s="6">
        <v>23.63307692</v>
      </c>
      <c r="H189" s="6">
        <v>1334.451538</v>
      </c>
      <c r="I189" s="6">
        <v>2.146923077</v>
      </c>
      <c r="J189" s="6" t="s">
        <v>25</v>
      </c>
    </row>
    <row r="190">
      <c r="A190" s="6" t="s">
        <v>33</v>
      </c>
      <c r="B190" s="6">
        <v>2013.0</v>
      </c>
      <c r="C190" s="6">
        <v>623.0138462</v>
      </c>
      <c r="D190" s="6">
        <v>296.5915385</v>
      </c>
      <c r="E190" s="6">
        <v>55.98846154</v>
      </c>
      <c r="F190" s="6">
        <v>20.49846154</v>
      </c>
      <c r="G190" s="6">
        <v>25.69076923</v>
      </c>
      <c r="H190" s="6">
        <v>1236.723077</v>
      </c>
      <c r="I190" s="6">
        <v>2.245384615</v>
      </c>
      <c r="J190" s="6" t="s">
        <v>16</v>
      </c>
    </row>
    <row r="191">
      <c r="A191" s="6" t="s">
        <v>33</v>
      </c>
      <c r="B191" s="6">
        <v>2014.0</v>
      </c>
      <c r="C191" s="6">
        <v>500.4377778</v>
      </c>
      <c r="D191" s="6">
        <v>236.1577778</v>
      </c>
      <c r="E191" s="6">
        <v>54.77888889</v>
      </c>
      <c r="F191" s="6">
        <v>35.39888889</v>
      </c>
      <c r="G191" s="6">
        <v>26.25222222</v>
      </c>
      <c r="H191" s="6">
        <v>1814.193333</v>
      </c>
      <c r="I191" s="6">
        <v>2.734444444</v>
      </c>
      <c r="J191" s="6" t="s">
        <v>16</v>
      </c>
    </row>
    <row r="192">
      <c r="A192" s="6" t="s">
        <v>33</v>
      </c>
      <c r="B192" s="6">
        <v>2015.0</v>
      </c>
      <c r="C192" s="6">
        <v>551.1209091</v>
      </c>
      <c r="D192" s="6">
        <v>232.7263636</v>
      </c>
      <c r="E192" s="6">
        <v>41.87272727</v>
      </c>
      <c r="F192" s="6">
        <v>30.28090909</v>
      </c>
      <c r="G192" s="6">
        <v>22.2</v>
      </c>
      <c r="H192" s="6">
        <v>1314.403636</v>
      </c>
      <c r="I192" s="6">
        <v>3.02</v>
      </c>
      <c r="J192" s="6" t="s">
        <v>16</v>
      </c>
    </row>
    <row r="193">
      <c r="A193" s="6" t="s">
        <v>33</v>
      </c>
      <c r="B193" s="6">
        <v>2016.0</v>
      </c>
      <c r="C193" s="6">
        <v>425.52625</v>
      </c>
      <c r="D193" s="6">
        <v>312.06125</v>
      </c>
      <c r="E193" s="6">
        <v>44.6225</v>
      </c>
      <c r="F193" s="6">
        <v>28.97875</v>
      </c>
      <c r="G193" s="6">
        <v>22.28625</v>
      </c>
      <c r="H193" s="6">
        <v>1839.97875</v>
      </c>
      <c r="I193" s="6">
        <v>3.09375</v>
      </c>
      <c r="J193" s="6" t="s">
        <v>25</v>
      </c>
    </row>
    <row r="194">
      <c r="A194" s="6" t="s">
        <v>33</v>
      </c>
      <c r="B194" s="6">
        <v>2017.0</v>
      </c>
      <c r="C194" s="6">
        <v>628.4944444</v>
      </c>
      <c r="D194" s="6">
        <v>273.0844444</v>
      </c>
      <c r="E194" s="6">
        <v>53.49666667</v>
      </c>
      <c r="F194" s="6">
        <v>25.77222222</v>
      </c>
      <c r="G194" s="6">
        <v>29.67666667</v>
      </c>
      <c r="H194" s="6">
        <v>1399.413333</v>
      </c>
      <c r="I194" s="6">
        <v>2.351111111</v>
      </c>
      <c r="J194" s="6" t="s">
        <v>16</v>
      </c>
    </row>
    <row r="195">
      <c r="A195" s="6" t="s">
        <v>33</v>
      </c>
      <c r="B195" s="6">
        <v>2018.0</v>
      </c>
      <c r="C195" s="6">
        <v>407.4209091</v>
      </c>
      <c r="D195" s="6">
        <v>290.4927273</v>
      </c>
      <c r="E195" s="6">
        <v>50.45636364</v>
      </c>
      <c r="F195" s="6">
        <v>31.29090909</v>
      </c>
      <c r="G195" s="6">
        <v>23.58636364</v>
      </c>
      <c r="H195" s="6">
        <v>1713.833636</v>
      </c>
      <c r="I195" s="6">
        <v>2.441818182</v>
      </c>
      <c r="J195" s="6" t="s">
        <v>16</v>
      </c>
    </row>
    <row r="196">
      <c r="A196" s="6" t="s">
        <v>33</v>
      </c>
      <c r="B196" s="6">
        <v>2019.0</v>
      </c>
      <c r="C196" s="6">
        <v>427.826</v>
      </c>
      <c r="D196" s="6">
        <v>271.546</v>
      </c>
      <c r="E196" s="6">
        <v>52.226</v>
      </c>
      <c r="F196" s="6">
        <v>26.398</v>
      </c>
      <c r="G196" s="6">
        <v>27.722</v>
      </c>
      <c r="H196" s="6">
        <v>999.733</v>
      </c>
      <c r="I196" s="6">
        <v>2.24</v>
      </c>
      <c r="J196" s="6" t="s">
        <v>16</v>
      </c>
    </row>
    <row r="197">
      <c r="A197" s="6" t="s">
        <v>33</v>
      </c>
      <c r="B197" s="6">
        <v>2020.0</v>
      </c>
      <c r="C197" s="6">
        <v>446.3557143</v>
      </c>
      <c r="D197" s="6">
        <v>289.6614286</v>
      </c>
      <c r="E197" s="6">
        <v>64.49857143</v>
      </c>
      <c r="F197" s="6">
        <v>26.79285714</v>
      </c>
      <c r="G197" s="6">
        <v>24.05285714</v>
      </c>
      <c r="H197" s="6">
        <v>1574.561429</v>
      </c>
      <c r="I197" s="6">
        <v>2.675714286</v>
      </c>
      <c r="J197" s="6" t="s">
        <v>16</v>
      </c>
    </row>
    <row r="198">
      <c r="A198" s="6" t="s">
        <v>33</v>
      </c>
      <c r="B198" s="6">
        <v>2021.0</v>
      </c>
      <c r="C198" s="6">
        <v>442.6990909</v>
      </c>
      <c r="D198" s="6">
        <v>276.6518182</v>
      </c>
      <c r="E198" s="6">
        <v>45.21909091</v>
      </c>
      <c r="F198" s="6">
        <v>24.58636364</v>
      </c>
      <c r="G198" s="6">
        <v>22.59363636</v>
      </c>
      <c r="H198" s="6">
        <v>1742.164545</v>
      </c>
      <c r="I198" s="6">
        <v>2.157272727</v>
      </c>
      <c r="J198" s="6" t="s">
        <v>16</v>
      </c>
    </row>
    <row r="199">
      <c r="A199" s="6" t="s">
        <v>33</v>
      </c>
      <c r="B199" s="6">
        <v>2022.0</v>
      </c>
      <c r="C199" s="6">
        <v>497.8878571</v>
      </c>
      <c r="D199" s="6">
        <v>354.5978571</v>
      </c>
      <c r="E199" s="6">
        <v>47.52</v>
      </c>
      <c r="F199" s="6">
        <v>33.61357143</v>
      </c>
      <c r="G199" s="6">
        <v>22.99142857</v>
      </c>
      <c r="H199" s="6">
        <v>2146.368571</v>
      </c>
      <c r="I199" s="6">
        <v>2.968571429</v>
      </c>
      <c r="J199" s="6" t="s">
        <v>25</v>
      </c>
    </row>
    <row r="200">
      <c r="A200" s="6" t="s">
        <v>33</v>
      </c>
      <c r="B200" s="6">
        <v>2023.0</v>
      </c>
      <c r="C200" s="6">
        <v>451.2883333</v>
      </c>
      <c r="D200" s="6">
        <v>273.0</v>
      </c>
      <c r="E200" s="6">
        <v>48.39166667</v>
      </c>
      <c r="F200" s="6">
        <v>25.33166667</v>
      </c>
      <c r="G200" s="6">
        <v>27.9325</v>
      </c>
      <c r="H200" s="6">
        <v>1603.4575</v>
      </c>
      <c r="I200" s="6">
        <v>2.905833333</v>
      </c>
      <c r="J200" s="6" t="s">
        <v>16</v>
      </c>
    </row>
    <row r="201">
      <c r="A201" s="6" t="s">
        <v>33</v>
      </c>
      <c r="B201" s="6">
        <v>2024.0</v>
      </c>
      <c r="C201" s="6">
        <v>479.7509091</v>
      </c>
      <c r="D201" s="6">
        <v>337.7518182</v>
      </c>
      <c r="E201" s="6">
        <v>42.76363636</v>
      </c>
      <c r="F201" s="6">
        <v>26.45818182</v>
      </c>
      <c r="G201" s="6">
        <v>22.64727273</v>
      </c>
      <c r="H201" s="6">
        <v>1391.921818</v>
      </c>
      <c r="I201" s="6">
        <v>2.178181818</v>
      </c>
      <c r="J201" s="6" t="s">
        <v>25</v>
      </c>
    </row>
    <row r="202">
      <c r="A202" s="6" t="s">
        <v>34</v>
      </c>
      <c r="B202" s="6">
        <v>2000.0</v>
      </c>
      <c r="C202" s="6">
        <v>423.4445455</v>
      </c>
      <c r="D202" s="6">
        <v>252.3945455</v>
      </c>
      <c r="E202" s="6">
        <v>55.17454545</v>
      </c>
      <c r="F202" s="6">
        <v>23.11818182</v>
      </c>
      <c r="G202" s="6">
        <v>23.12</v>
      </c>
      <c r="H202" s="6">
        <v>1519.429091</v>
      </c>
      <c r="I202" s="6">
        <v>1.845454545</v>
      </c>
      <c r="J202" s="6" t="s">
        <v>16</v>
      </c>
    </row>
    <row r="203">
      <c r="A203" s="6" t="s">
        <v>34</v>
      </c>
      <c r="B203" s="6">
        <v>2001.0</v>
      </c>
      <c r="C203" s="6">
        <v>424.1808333</v>
      </c>
      <c r="D203" s="6">
        <v>225.1841667</v>
      </c>
      <c r="E203" s="6">
        <v>51.20666667</v>
      </c>
      <c r="F203" s="6">
        <v>26.98833333</v>
      </c>
      <c r="G203" s="6">
        <v>22.4225</v>
      </c>
      <c r="H203" s="6">
        <v>1029.774167</v>
      </c>
      <c r="I203" s="6">
        <v>2.27</v>
      </c>
      <c r="J203" s="6" t="s">
        <v>16</v>
      </c>
    </row>
    <row r="204">
      <c r="A204" s="6" t="s">
        <v>34</v>
      </c>
      <c r="B204" s="6">
        <v>2002.0</v>
      </c>
      <c r="C204" s="6">
        <v>335.6527273</v>
      </c>
      <c r="D204" s="6">
        <v>297.6672727</v>
      </c>
      <c r="E204" s="6">
        <v>46.07</v>
      </c>
      <c r="F204" s="6">
        <v>24.10818182</v>
      </c>
      <c r="G204" s="6">
        <v>24.83090909</v>
      </c>
      <c r="H204" s="6">
        <v>1428.850909</v>
      </c>
      <c r="I204" s="6">
        <v>2.860909091</v>
      </c>
      <c r="J204" s="6" t="s">
        <v>16</v>
      </c>
    </row>
    <row r="205">
      <c r="A205" s="6" t="s">
        <v>34</v>
      </c>
      <c r="B205" s="6">
        <v>2003.0</v>
      </c>
      <c r="C205" s="6">
        <v>500.5683333</v>
      </c>
      <c r="D205" s="6">
        <v>261.5366667</v>
      </c>
      <c r="E205" s="6">
        <v>42.46</v>
      </c>
      <c r="F205" s="6">
        <v>29.235</v>
      </c>
      <c r="G205" s="6">
        <v>32.735</v>
      </c>
      <c r="H205" s="6">
        <v>1433.571667</v>
      </c>
      <c r="I205" s="6">
        <v>2.673333333</v>
      </c>
      <c r="J205" s="6" t="s">
        <v>16</v>
      </c>
    </row>
    <row r="206">
      <c r="A206" s="6" t="s">
        <v>34</v>
      </c>
      <c r="B206" s="6">
        <v>2004.0</v>
      </c>
      <c r="C206" s="6">
        <v>494.8585714</v>
      </c>
      <c r="D206" s="6">
        <v>301.0928571</v>
      </c>
      <c r="E206" s="6">
        <v>45.92285714</v>
      </c>
      <c r="F206" s="6">
        <v>31.55714286</v>
      </c>
      <c r="G206" s="6">
        <v>25.17857143</v>
      </c>
      <c r="H206" s="6">
        <v>1392.615714</v>
      </c>
      <c r="I206" s="6">
        <v>2.885714286</v>
      </c>
      <c r="J206" s="6" t="s">
        <v>25</v>
      </c>
    </row>
    <row r="207">
      <c r="A207" s="6" t="s">
        <v>34</v>
      </c>
      <c r="B207" s="6">
        <v>2005.0</v>
      </c>
      <c r="C207" s="6">
        <v>340.6314286</v>
      </c>
      <c r="D207" s="6">
        <v>190.9514286</v>
      </c>
      <c r="E207" s="6">
        <v>48.94285714</v>
      </c>
      <c r="F207" s="6">
        <v>25.14857143</v>
      </c>
      <c r="G207" s="6">
        <v>21.47857143</v>
      </c>
      <c r="H207" s="6">
        <v>1467.027143</v>
      </c>
      <c r="I207" s="6">
        <v>2.484285714</v>
      </c>
      <c r="J207" s="6" t="s">
        <v>28</v>
      </c>
    </row>
    <row r="208">
      <c r="A208" s="6" t="s">
        <v>34</v>
      </c>
      <c r="B208" s="6">
        <v>2006.0</v>
      </c>
      <c r="C208" s="6">
        <v>361.7125</v>
      </c>
      <c r="D208" s="6">
        <v>302.7758333</v>
      </c>
      <c r="E208" s="6">
        <v>51.29416667</v>
      </c>
      <c r="F208" s="6">
        <v>32.1525</v>
      </c>
      <c r="G208" s="6">
        <v>25.795</v>
      </c>
      <c r="H208" s="6">
        <v>1684.0775</v>
      </c>
      <c r="I208" s="6">
        <v>2.240833333</v>
      </c>
      <c r="J208" s="6" t="s">
        <v>25</v>
      </c>
    </row>
    <row r="209">
      <c r="A209" s="6" t="s">
        <v>34</v>
      </c>
      <c r="B209" s="6">
        <v>2007.0</v>
      </c>
      <c r="C209" s="6">
        <v>437.59</v>
      </c>
      <c r="D209" s="6">
        <v>320.209</v>
      </c>
      <c r="E209" s="6">
        <v>53.373</v>
      </c>
      <c r="F209" s="6">
        <v>27.334</v>
      </c>
      <c r="G209" s="6">
        <v>21.352</v>
      </c>
      <c r="H209" s="6">
        <v>1263.136</v>
      </c>
      <c r="I209" s="6">
        <v>2.703</v>
      </c>
      <c r="J209" s="6" t="s">
        <v>25</v>
      </c>
    </row>
    <row r="210">
      <c r="A210" s="6" t="s">
        <v>34</v>
      </c>
      <c r="B210" s="6">
        <v>2008.0</v>
      </c>
      <c r="C210" s="6">
        <v>497.0171429</v>
      </c>
      <c r="D210" s="6">
        <v>172.4414286</v>
      </c>
      <c r="E210" s="6">
        <v>52.15285714</v>
      </c>
      <c r="F210" s="6">
        <v>29.28428571</v>
      </c>
      <c r="G210" s="6">
        <v>28.8</v>
      </c>
      <c r="H210" s="6">
        <v>1801.191429</v>
      </c>
      <c r="I210" s="6">
        <v>1.715714286</v>
      </c>
      <c r="J210" s="6" t="s">
        <v>28</v>
      </c>
    </row>
    <row r="211">
      <c r="A211" s="6" t="s">
        <v>34</v>
      </c>
      <c r="B211" s="6">
        <v>2009.0</v>
      </c>
      <c r="C211" s="6">
        <v>526.372</v>
      </c>
      <c r="D211" s="6">
        <v>302.216</v>
      </c>
      <c r="E211" s="6">
        <v>37.624</v>
      </c>
      <c r="F211" s="6">
        <v>35.81666667</v>
      </c>
      <c r="G211" s="6">
        <v>22.36333333</v>
      </c>
      <c r="H211" s="6">
        <v>1692.661333</v>
      </c>
      <c r="I211" s="6">
        <v>2.552666667</v>
      </c>
      <c r="J211" s="6" t="s">
        <v>25</v>
      </c>
    </row>
    <row r="212">
      <c r="A212" s="6" t="s">
        <v>34</v>
      </c>
      <c r="B212" s="6">
        <v>2010.0</v>
      </c>
      <c r="C212" s="6">
        <v>394.0853846</v>
      </c>
      <c r="D212" s="6">
        <v>304.9284615</v>
      </c>
      <c r="E212" s="6">
        <v>52.38</v>
      </c>
      <c r="F212" s="6">
        <v>27.93769231</v>
      </c>
      <c r="G212" s="6">
        <v>24.42076923</v>
      </c>
      <c r="H212" s="6">
        <v>1642.244615</v>
      </c>
      <c r="I212" s="6">
        <v>2.413846154</v>
      </c>
      <c r="J212" s="6" t="s">
        <v>25</v>
      </c>
    </row>
    <row r="213">
      <c r="A213" s="6" t="s">
        <v>34</v>
      </c>
      <c r="B213" s="6">
        <v>2011.0</v>
      </c>
      <c r="C213" s="6">
        <v>513.07</v>
      </c>
      <c r="D213" s="6">
        <v>272.754</v>
      </c>
      <c r="E213" s="6">
        <v>44.916</v>
      </c>
      <c r="F213" s="6">
        <v>29.192</v>
      </c>
      <c r="G213" s="6">
        <v>23.584</v>
      </c>
      <c r="H213" s="6">
        <v>905.278</v>
      </c>
      <c r="I213" s="6">
        <v>2.846</v>
      </c>
      <c r="J213" s="6" t="s">
        <v>16</v>
      </c>
    </row>
    <row r="214">
      <c r="A214" s="6" t="s">
        <v>34</v>
      </c>
      <c r="B214" s="6">
        <v>2012.0</v>
      </c>
      <c r="C214" s="6">
        <v>612.3836364</v>
      </c>
      <c r="D214" s="6">
        <v>215.1918182</v>
      </c>
      <c r="E214" s="6">
        <v>42.14818182</v>
      </c>
      <c r="F214" s="6">
        <v>20.18</v>
      </c>
      <c r="G214" s="6">
        <v>23.01454545</v>
      </c>
      <c r="H214" s="6">
        <v>1876.305455</v>
      </c>
      <c r="I214" s="6">
        <v>2.367272727</v>
      </c>
      <c r="J214" s="6" t="s">
        <v>16</v>
      </c>
    </row>
    <row r="215">
      <c r="A215" s="6" t="s">
        <v>34</v>
      </c>
      <c r="B215" s="6">
        <v>2013.0</v>
      </c>
      <c r="C215" s="6">
        <v>524.205</v>
      </c>
      <c r="D215" s="6">
        <v>254.6675</v>
      </c>
      <c r="E215" s="6">
        <v>61.595</v>
      </c>
      <c r="F215" s="6">
        <v>22.84</v>
      </c>
      <c r="G215" s="6">
        <v>17.195</v>
      </c>
      <c r="H215" s="6">
        <v>2360.075</v>
      </c>
      <c r="I215" s="6">
        <v>3.8925</v>
      </c>
      <c r="J215" s="6" t="s">
        <v>16</v>
      </c>
    </row>
    <row r="216">
      <c r="A216" s="6" t="s">
        <v>34</v>
      </c>
      <c r="B216" s="6">
        <v>2014.0</v>
      </c>
      <c r="C216" s="6">
        <v>398.7266667</v>
      </c>
      <c r="D216" s="6">
        <v>336.8008333</v>
      </c>
      <c r="E216" s="6">
        <v>54.00166667</v>
      </c>
      <c r="F216" s="6">
        <v>22.195</v>
      </c>
      <c r="G216" s="6">
        <v>19.96083333</v>
      </c>
      <c r="H216" s="6">
        <v>1911.3125</v>
      </c>
      <c r="I216" s="6">
        <v>2.679166667</v>
      </c>
      <c r="J216" s="6" t="s">
        <v>25</v>
      </c>
    </row>
    <row r="217">
      <c r="A217" s="6" t="s">
        <v>34</v>
      </c>
      <c r="B217" s="6">
        <v>2015.0</v>
      </c>
      <c r="C217" s="6">
        <v>501.6763636</v>
      </c>
      <c r="D217" s="6">
        <v>220.6218182</v>
      </c>
      <c r="E217" s="6">
        <v>44.81181818</v>
      </c>
      <c r="F217" s="6">
        <v>27.18545455</v>
      </c>
      <c r="G217" s="6">
        <v>20.43818182</v>
      </c>
      <c r="H217" s="6">
        <v>1632.34</v>
      </c>
      <c r="I217" s="6">
        <v>3.057272727</v>
      </c>
      <c r="J217" s="6" t="s">
        <v>16</v>
      </c>
    </row>
    <row r="218">
      <c r="A218" s="6" t="s">
        <v>34</v>
      </c>
      <c r="B218" s="6">
        <v>2016.0</v>
      </c>
      <c r="C218" s="6">
        <v>648.6128571</v>
      </c>
      <c r="D218" s="6">
        <v>278.6271429</v>
      </c>
      <c r="E218" s="6">
        <v>50.79</v>
      </c>
      <c r="F218" s="6">
        <v>23.61428571</v>
      </c>
      <c r="G218" s="6">
        <v>17.92285714</v>
      </c>
      <c r="H218" s="6">
        <v>1720.858571</v>
      </c>
      <c r="I218" s="6">
        <v>2.345714286</v>
      </c>
      <c r="J218" s="6" t="s">
        <v>16</v>
      </c>
    </row>
    <row r="219">
      <c r="A219" s="6" t="s">
        <v>34</v>
      </c>
      <c r="B219" s="6">
        <v>2017.0</v>
      </c>
      <c r="C219" s="6">
        <v>719.6828571</v>
      </c>
      <c r="D219" s="6">
        <v>255.6357143</v>
      </c>
      <c r="E219" s="6">
        <v>57.0</v>
      </c>
      <c r="F219" s="6">
        <v>24.55285714</v>
      </c>
      <c r="G219" s="6">
        <v>21.01857143</v>
      </c>
      <c r="H219" s="6">
        <v>1321.295714</v>
      </c>
      <c r="I219" s="6">
        <v>1.97</v>
      </c>
      <c r="J219" s="6" t="s">
        <v>16</v>
      </c>
    </row>
    <row r="220">
      <c r="A220" s="6" t="s">
        <v>34</v>
      </c>
      <c r="B220" s="6">
        <v>2018.0</v>
      </c>
      <c r="C220" s="6">
        <v>439.709</v>
      </c>
      <c r="D220" s="6">
        <v>252.516</v>
      </c>
      <c r="E220" s="6">
        <v>48.88</v>
      </c>
      <c r="F220" s="6">
        <v>31.032</v>
      </c>
      <c r="G220" s="6">
        <v>27.669</v>
      </c>
      <c r="H220" s="6">
        <v>1275.087</v>
      </c>
      <c r="I220" s="6">
        <v>2.235</v>
      </c>
      <c r="J220" s="6" t="s">
        <v>16</v>
      </c>
    </row>
    <row r="221">
      <c r="A221" s="6" t="s">
        <v>34</v>
      </c>
      <c r="B221" s="6">
        <v>2019.0</v>
      </c>
      <c r="C221" s="6">
        <v>413.0072727</v>
      </c>
      <c r="D221" s="6">
        <v>203.0927273</v>
      </c>
      <c r="E221" s="6">
        <v>49.46818182</v>
      </c>
      <c r="F221" s="6">
        <v>28.99818182</v>
      </c>
      <c r="G221" s="6">
        <v>25.38090909</v>
      </c>
      <c r="H221" s="6">
        <v>1795.614545</v>
      </c>
      <c r="I221" s="6">
        <v>2.734545455</v>
      </c>
      <c r="J221" s="6" t="s">
        <v>16</v>
      </c>
    </row>
    <row r="222">
      <c r="A222" s="6" t="s">
        <v>34</v>
      </c>
      <c r="B222" s="6">
        <v>2020.0</v>
      </c>
      <c r="C222" s="6">
        <v>558.59875</v>
      </c>
      <c r="D222" s="6">
        <v>288.03</v>
      </c>
      <c r="E222" s="6">
        <v>42.735</v>
      </c>
      <c r="F222" s="6">
        <v>21.86625</v>
      </c>
      <c r="G222" s="6">
        <v>25.2175</v>
      </c>
      <c r="H222" s="6">
        <v>1081.8</v>
      </c>
      <c r="I222" s="6">
        <v>2.4775</v>
      </c>
      <c r="J222" s="6" t="s">
        <v>16</v>
      </c>
    </row>
    <row r="223">
      <c r="A223" s="6" t="s">
        <v>34</v>
      </c>
      <c r="B223" s="6">
        <v>2021.0</v>
      </c>
      <c r="C223" s="6">
        <v>463.8866667</v>
      </c>
      <c r="D223" s="6">
        <v>277.4533333</v>
      </c>
      <c r="E223" s="6">
        <v>54.28</v>
      </c>
      <c r="F223" s="6">
        <v>26.78333333</v>
      </c>
      <c r="G223" s="6">
        <v>13.66833333</v>
      </c>
      <c r="H223" s="6">
        <v>1869.676667</v>
      </c>
      <c r="I223" s="6">
        <v>2.3</v>
      </c>
      <c r="J223" s="6" t="s">
        <v>16</v>
      </c>
    </row>
    <row r="224">
      <c r="A224" s="6" t="s">
        <v>34</v>
      </c>
      <c r="B224" s="6">
        <v>2022.0</v>
      </c>
      <c r="C224" s="6">
        <v>622.5435714</v>
      </c>
      <c r="D224" s="6">
        <v>247.8207143</v>
      </c>
      <c r="E224" s="6">
        <v>53.53428571</v>
      </c>
      <c r="F224" s="6">
        <v>28.62142857</v>
      </c>
      <c r="G224" s="6">
        <v>25.91571429</v>
      </c>
      <c r="H224" s="6">
        <v>1504.516429</v>
      </c>
      <c r="I224" s="6">
        <v>2.162857143</v>
      </c>
      <c r="J224" s="6" t="s">
        <v>16</v>
      </c>
    </row>
    <row r="225">
      <c r="A225" s="6" t="s">
        <v>34</v>
      </c>
      <c r="B225" s="6">
        <v>2023.0</v>
      </c>
      <c r="C225" s="6">
        <v>559.205</v>
      </c>
      <c r="D225" s="6">
        <v>237.0475</v>
      </c>
      <c r="E225" s="6">
        <v>53.07333333</v>
      </c>
      <c r="F225" s="6">
        <v>28.7225</v>
      </c>
      <c r="G225" s="6">
        <v>21.2775</v>
      </c>
      <c r="H225" s="6">
        <v>1566.625833</v>
      </c>
      <c r="I225" s="6">
        <v>3.325833333</v>
      </c>
      <c r="J225" s="6" t="s">
        <v>16</v>
      </c>
    </row>
    <row r="226">
      <c r="A226" s="6" t="s">
        <v>34</v>
      </c>
      <c r="B226" s="6">
        <v>2024.0</v>
      </c>
      <c r="C226" s="6">
        <v>439.8463636</v>
      </c>
      <c r="D226" s="6">
        <v>366.2672727</v>
      </c>
      <c r="E226" s="6">
        <v>43.77181818</v>
      </c>
      <c r="F226" s="6">
        <v>22.86181818</v>
      </c>
      <c r="G226" s="6">
        <v>26.39</v>
      </c>
      <c r="H226" s="6">
        <v>1730.264545</v>
      </c>
      <c r="I226" s="6">
        <v>2.250909091</v>
      </c>
      <c r="J226" s="6" t="s">
        <v>25</v>
      </c>
    </row>
    <row r="227">
      <c r="A227" s="6" t="s">
        <v>35</v>
      </c>
      <c r="B227" s="6">
        <v>2000.0</v>
      </c>
      <c r="C227" s="6">
        <v>365.1183333</v>
      </c>
      <c r="D227" s="6">
        <v>398.7416667</v>
      </c>
      <c r="E227" s="6">
        <v>42.66333333</v>
      </c>
      <c r="F227" s="6">
        <v>22.915</v>
      </c>
      <c r="G227" s="6">
        <v>25.855</v>
      </c>
      <c r="H227" s="6">
        <v>1648.945</v>
      </c>
      <c r="I227" s="6">
        <v>2.433333333</v>
      </c>
      <c r="J227" s="6" t="s">
        <v>25</v>
      </c>
    </row>
    <row r="228">
      <c r="A228" s="6" t="s">
        <v>35</v>
      </c>
      <c r="B228" s="6">
        <v>2001.0</v>
      </c>
      <c r="C228" s="6">
        <v>668.278</v>
      </c>
      <c r="D228" s="6">
        <v>238.974</v>
      </c>
      <c r="E228" s="6">
        <v>55.974</v>
      </c>
      <c r="F228" s="6">
        <v>21.93</v>
      </c>
      <c r="G228" s="6">
        <v>24.856</v>
      </c>
      <c r="H228" s="6">
        <v>978.386</v>
      </c>
      <c r="I228" s="6">
        <v>2.61</v>
      </c>
      <c r="J228" s="6" t="s">
        <v>16</v>
      </c>
    </row>
    <row r="229">
      <c r="A229" s="6" t="s">
        <v>35</v>
      </c>
      <c r="B229" s="6">
        <v>2002.0</v>
      </c>
      <c r="C229" s="6">
        <v>613.6314286</v>
      </c>
      <c r="D229" s="6">
        <v>285.0871429</v>
      </c>
      <c r="E229" s="6">
        <v>44.40785714</v>
      </c>
      <c r="F229" s="6">
        <v>28.24</v>
      </c>
      <c r="G229" s="6">
        <v>24.73285714</v>
      </c>
      <c r="H229" s="6">
        <v>1849.275714</v>
      </c>
      <c r="I229" s="6">
        <v>1.942857143</v>
      </c>
      <c r="J229" s="6" t="s">
        <v>16</v>
      </c>
    </row>
    <row r="230">
      <c r="A230" s="6" t="s">
        <v>35</v>
      </c>
      <c r="B230" s="6">
        <v>2003.0</v>
      </c>
      <c r="C230" s="6">
        <v>446.749</v>
      </c>
      <c r="D230" s="6">
        <v>250.302</v>
      </c>
      <c r="E230" s="6">
        <v>51.775</v>
      </c>
      <c r="F230" s="6">
        <v>23.841</v>
      </c>
      <c r="G230" s="6">
        <v>19.903</v>
      </c>
      <c r="H230" s="6">
        <v>1396.319</v>
      </c>
      <c r="I230" s="6">
        <v>1.931</v>
      </c>
      <c r="J230" s="6" t="s">
        <v>16</v>
      </c>
    </row>
    <row r="231">
      <c r="A231" s="6" t="s">
        <v>35</v>
      </c>
      <c r="B231" s="6">
        <v>2004.0</v>
      </c>
      <c r="C231" s="6">
        <v>604.7344444</v>
      </c>
      <c r="D231" s="6">
        <v>124.6977778</v>
      </c>
      <c r="E231" s="6">
        <v>46.64666667</v>
      </c>
      <c r="F231" s="6">
        <v>34.08111111</v>
      </c>
      <c r="G231" s="6">
        <v>26.06</v>
      </c>
      <c r="H231" s="6">
        <v>1317.36</v>
      </c>
      <c r="I231" s="6">
        <v>2.895555556</v>
      </c>
      <c r="J231" s="6" t="s">
        <v>28</v>
      </c>
    </row>
    <row r="232">
      <c r="A232" s="6" t="s">
        <v>35</v>
      </c>
      <c r="B232" s="6">
        <v>2005.0</v>
      </c>
      <c r="C232" s="6">
        <v>482.9130769</v>
      </c>
      <c r="D232" s="6">
        <v>270.8076923</v>
      </c>
      <c r="E232" s="6">
        <v>55.45230769</v>
      </c>
      <c r="F232" s="6">
        <v>37.81846154</v>
      </c>
      <c r="G232" s="6">
        <v>26.71769231</v>
      </c>
      <c r="H232" s="6">
        <v>1916.143077</v>
      </c>
      <c r="I232" s="6">
        <v>2.935384615</v>
      </c>
      <c r="J232" s="6" t="s">
        <v>16</v>
      </c>
    </row>
    <row r="233">
      <c r="A233" s="6" t="s">
        <v>35</v>
      </c>
      <c r="B233" s="6">
        <v>2006.0</v>
      </c>
      <c r="C233" s="6">
        <v>383.605</v>
      </c>
      <c r="D233" s="6">
        <v>224.1325</v>
      </c>
      <c r="E233" s="6">
        <v>52.29</v>
      </c>
      <c r="F233" s="6">
        <v>37.225</v>
      </c>
      <c r="G233" s="6">
        <v>24.61375</v>
      </c>
      <c r="H233" s="6">
        <v>1487.0575</v>
      </c>
      <c r="I233" s="6">
        <v>2.4975</v>
      </c>
      <c r="J233" s="6" t="s">
        <v>16</v>
      </c>
    </row>
    <row r="234">
      <c r="A234" s="6" t="s">
        <v>35</v>
      </c>
      <c r="B234" s="6">
        <v>2007.0</v>
      </c>
      <c r="C234" s="6">
        <v>646.3181818</v>
      </c>
      <c r="D234" s="6">
        <v>250.3845455</v>
      </c>
      <c r="E234" s="6">
        <v>43.58636364</v>
      </c>
      <c r="F234" s="6">
        <v>25.74909091</v>
      </c>
      <c r="G234" s="6">
        <v>30.04454545</v>
      </c>
      <c r="H234" s="6">
        <v>1695.921818</v>
      </c>
      <c r="I234" s="6">
        <v>2.660909091</v>
      </c>
      <c r="J234" s="6" t="s">
        <v>16</v>
      </c>
    </row>
    <row r="235">
      <c r="A235" s="6" t="s">
        <v>35</v>
      </c>
      <c r="B235" s="6">
        <v>2008.0</v>
      </c>
      <c r="C235" s="6">
        <v>476.8438462</v>
      </c>
      <c r="D235" s="6">
        <v>357.8669231</v>
      </c>
      <c r="E235" s="6">
        <v>45.55615385</v>
      </c>
      <c r="F235" s="6">
        <v>31.19076923</v>
      </c>
      <c r="G235" s="6">
        <v>23.78</v>
      </c>
      <c r="H235" s="6">
        <v>1389.683077</v>
      </c>
      <c r="I235" s="6">
        <v>2.954615385</v>
      </c>
      <c r="J235" s="6" t="s">
        <v>25</v>
      </c>
    </row>
    <row r="236">
      <c r="A236" s="6" t="s">
        <v>35</v>
      </c>
      <c r="B236" s="6">
        <v>2009.0</v>
      </c>
      <c r="C236" s="6">
        <v>417.7090909</v>
      </c>
      <c r="D236" s="6">
        <v>280.4127273</v>
      </c>
      <c r="E236" s="6">
        <v>47.05636364</v>
      </c>
      <c r="F236" s="6">
        <v>28.00545455</v>
      </c>
      <c r="G236" s="6">
        <v>23.35727273</v>
      </c>
      <c r="H236" s="6">
        <v>1162.708182</v>
      </c>
      <c r="I236" s="6">
        <v>1.927272727</v>
      </c>
      <c r="J236" s="6" t="s">
        <v>16</v>
      </c>
    </row>
    <row r="237">
      <c r="A237" s="6" t="s">
        <v>35</v>
      </c>
      <c r="B237" s="6">
        <v>2010.0</v>
      </c>
      <c r="C237" s="6">
        <v>631.625</v>
      </c>
      <c r="D237" s="6">
        <v>368.79</v>
      </c>
      <c r="E237" s="6">
        <v>53.95428571</v>
      </c>
      <c r="F237" s="6">
        <v>28.38357143</v>
      </c>
      <c r="G237" s="6">
        <v>28.01428571</v>
      </c>
      <c r="H237" s="6">
        <v>1575.729286</v>
      </c>
      <c r="I237" s="6">
        <v>2.767857143</v>
      </c>
      <c r="J237" s="6" t="s">
        <v>25</v>
      </c>
    </row>
    <row r="238">
      <c r="A238" s="6" t="s">
        <v>35</v>
      </c>
      <c r="B238" s="6">
        <v>2011.0</v>
      </c>
      <c r="C238" s="6">
        <v>482.0222222</v>
      </c>
      <c r="D238" s="6">
        <v>234.0977778</v>
      </c>
      <c r="E238" s="6">
        <v>50.20555556</v>
      </c>
      <c r="F238" s="6">
        <v>29.92444444</v>
      </c>
      <c r="G238" s="6">
        <v>25.86666667</v>
      </c>
      <c r="H238" s="6">
        <v>1319.646667</v>
      </c>
      <c r="I238" s="6">
        <v>3.035555556</v>
      </c>
      <c r="J238" s="6" t="s">
        <v>16</v>
      </c>
    </row>
    <row r="239">
      <c r="A239" s="6" t="s">
        <v>35</v>
      </c>
      <c r="B239" s="6">
        <v>2012.0</v>
      </c>
      <c r="C239" s="6">
        <v>574.1427273</v>
      </c>
      <c r="D239" s="6">
        <v>260.3290909</v>
      </c>
      <c r="E239" s="6">
        <v>50.85</v>
      </c>
      <c r="F239" s="6">
        <v>30.39818182</v>
      </c>
      <c r="G239" s="6">
        <v>24.06909091</v>
      </c>
      <c r="H239" s="6">
        <v>1862.157273</v>
      </c>
      <c r="I239" s="6">
        <v>1.685454545</v>
      </c>
      <c r="J239" s="6" t="s">
        <v>16</v>
      </c>
    </row>
    <row r="240">
      <c r="A240" s="6" t="s">
        <v>35</v>
      </c>
      <c r="B240" s="6">
        <v>2013.0</v>
      </c>
      <c r="C240" s="6">
        <v>549.9063636</v>
      </c>
      <c r="D240" s="6">
        <v>274.9790909</v>
      </c>
      <c r="E240" s="6">
        <v>52.97636364</v>
      </c>
      <c r="F240" s="6">
        <v>19.64545455</v>
      </c>
      <c r="G240" s="6">
        <v>25.16363636</v>
      </c>
      <c r="H240" s="6">
        <v>1063.212727</v>
      </c>
      <c r="I240" s="6">
        <v>1.763636364</v>
      </c>
      <c r="J240" s="6" t="s">
        <v>16</v>
      </c>
    </row>
    <row r="241">
      <c r="A241" s="6" t="s">
        <v>35</v>
      </c>
      <c r="B241" s="6">
        <v>2014.0</v>
      </c>
      <c r="C241" s="6">
        <v>453.4766667</v>
      </c>
      <c r="D241" s="6">
        <v>300.0493333</v>
      </c>
      <c r="E241" s="6">
        <v>50.884</v>
      </c>
      <c r="F241" s="6">
        <v>23.46733333</v>
      </c>
      <c r="G241" s="6">
        <v>25.62066667</v>
      </c>
      <c r="H241" s="6">
        <v>2214.668667</v>
      </c>
      <c r="I241" s="6">
        <v>2.128666667</v>
      </c>
      <c r="J241" s="6" t="s">
        <v>25</v>
      </c>
    </row>
    <row r="242">
      <c r="A242" s="6" t="s">
        <v>35</v>
      </c>
      <c r="B242" s="6">
        <v>2015.0</v>
      </c>
      <c r="C242" s="6">
        <v>493.0144444</v>
      </c>
      <c r="D242" s="6">
        <v>298.2211111</v>
      </c>
      <c r="E242" s="6">
        <v>55.56333333</v>
      </c>
      <c r="F242" s="6">
        <v>26.52333333</v>
      </c>
      <c r="G242" s="6">
        <v>26.71333333</v>
      </c>
      <c r="H242" s="6">
        <v>1550.253333</v>
      </c>
      <c r="I242" s="6">
        <v>2.791111111</v>
      </c>
      <c r="J242" s="6" t="s">
        <v>16</v>
      </c>
    </row>
    <row r="243">
      <c r="A243" s="6" t="s">
        <v>35</v>
      </c>
      <c r="B243" s="6">
        <v>2016.0</v>
      </c>
      <c r="C243" s="6">
        <v>602.21</v>
      </c>
      <c r="D243" s="6">
        <v>262.5877778</v>
      </c>
      <c r="E243" s="6">
        <v>45.87</v>
      </c>
      <c r="F243" s="6">
        <v>31.44777778</v>
      </c>
      <c r="G243" s="6">
        <v>25.35666667</v>
      </c>
      <c r="H243" s="6">
        <v>1379.187778</v>
      </c>
      <c r="I243" s="6">
        <v>3.292222222</v>
      </c>
      <c r="J243" s="6" t="s">
        <v>16</v>
      </c>
    </row>
    <row r="244">
      <c r="A244" s="6" t="s">
        <v>35</v>
      </c>
      <c r="B244" s="6">
        <v>2017.0</v>
      </c>
      <c r="C244" s="6">
        <v>433.6275</v>
      </c>
      <c r="D244" s="6">
        <v>309.3575</v>
      </c>
      <c r="E244" s="6">
        <v>43.67875</v>
      </c>
      <c r="F244" s="6">
        <v>28.21625</v>
      </c>
      <c r="G244" s="6">
        <v>24.945</v>
      </c>
      <c r="H244" s="6">
        <v>1831.33125</v>
      </c>
      <c r="I244" s="6">
        <v>3.455</v>
      </c>
      <c r="J244" s="6" t="s">
        <v>25</v>
      </c>
    </row>
    <row r="245">
      <c r="A245" s="6" t="s">
        <v>35</v>
      </c>
      <c r="B245" s="6">
        <v>2018.0</v>
      </c>
      <c r="C245" s="6">
        <v>488.0128571</v>
      </c>
      <c r="D245" s="6">
        <v>282.9557143</v>
      </c>
      <c r="E245" s="6">
        <v>51.95142857</v>
      </c>
      <c r="F245" s="6">
        <v>31.78142857</v>
      </c>
      <c r="G245" s="6">
        <v>23.84857143</v>
      </c>
      <c r="H245" s="6">
        <v>1590.241429</v>
      </c>
      <c r="I245" s="6">
        <v>2.547142857</v>
      </c>
      <c r="J245" s="6" t="s">
        <v>16</v>
      </c>
    </row>
    <row r="246">
      <c r="A246" s="6" t="s">
        <v>35</v>
      </c>
      <c r="B246" s="6">
        <v>2019.0</v>
      </c>
      <c r="C246" s="6">
        <v>586.185</v>
      </c>
      <c r="D246" s="6">
        <v>373.9966667</v>
      </c>
      <c r="E246" s="6">
        <v>48.89</v>
      </c>
      <c r="F246" s="6">
        <v>23.71583333</v>
      </c>
      <c r="G246" s="6">
        <v>21.6625</v>
      </c>
      <c r="H246" s="6">
        <v>1670.785833</v>
      </c>
      <c r="I246" s="6">
        <v>2.541666667</v>
      </c>
      <c r="J246" s="6" t="s">
        <v>25</v>
      </c>
    </row>
    <row r="247">
      <c r="A247" s="6" t="s">
        <v>35</v>
      </c>
      <c r="B247" s="6">
        <v>2020.0</v>
      </c>
      <c r="C247" s="6">
        <v>299.4342857</v>
      </c>
      <c r="D247" s="6">
        <v>313.2171429</v>
      </c>
      <c r="E247" s="6">
        <v>57.96428571</v>
      </c>
      <c r="F247" s="6">
        <v>29.40285714</v>
      </c>
      <c r="G247" s="6">
        <v>25.24857143</v>
      </c>
      <c r="H247" s="6">
        <v>977.3957143</v>
      </c>
      <c r="I247" s="6">
        <v>1.741428571</v>
      </c>
      <c r="J247" s="6" t="s">
        <v>25</v>
      </c>
    </row>
    <row r="248">
      <c r="A248" s="6" t="s">
        <v>35</v>
      </c>
      <c r="B248" s="6">
        <v>2021.0</v>
      </c>
      <c r="C248" s="6">
        <v>417.9846154</v>
      </c>
      <c r="D248" s="6">
        <v>293.0553846</v>
      </c>
      <c r="E248" s="6">
        <v>48.10307692</v>
      </c>
      <c r="F248" s="6">
        <v>31.92615385</v>
      </c>
      <c r="G248" s="6">
        <v>19.65153846</v>
      </c>
      <c r="H248" s="6">
        <v>1756.885385</v>
      </c>
      <c r="I248" s="6">
        <v>2.220769231</v>
      </c>
      <c r="J248" s="6" t="s">
        <v>16</v>
      </c>
    </row>
    <row r="249">
      <c r="A249" s="6" t="s">
        <v>35</v>
      </c>
      <c r="B249" s="6">
        <v>2022.0</v>
      </c>
      <c r="C249" s="6">
        <v>473.964</v>
      </c>
      <c r="D249" s="6">
        <v>264.601</v>
      </c>
      <c r="E249" s="6">
        <v>51.205</v>
      </c>
      <c r="F249" s="6">
        <v>32.021</v>
      </c>
      <c r="G249" s="6">
        <v>23.228</v>
      </c>
      <c r="H249" s="6">
        <v>1585.308</v>
      </c>
      <c r="I249" s="6">
        <v>2.512</v>
      </c>
      <c r="J249" s="6" t="s">
        <v>16</v>
      </c>
    </row>
    <row r="250">
      <c r="A250" s="6" t="s">
        <v>35</v>
      </c>
      <c r="B250" s="6">
        <v>2023.0</v>
      </c>
      <c r="C250" s="6">
        <v>438.424</v>
      </c>
      <c r="D250" s="6">
        <v>264.432</v>
      </c>
      <c r="E250" s="6">
        <v>50.878</v>
      </c>
      <c r="F250" s="6">
        <v>18.286</v>
      </c>
      <c r="G250" s="6">
        <v>30.731</v>
      </c>
      <c r="H250" s="6">
        <v>1880.054</v>
      </c>
      <c r="I250" s="6">
        <v>2.219</v>
      </c>
      <c r="J250" s="6" t="s">
        <v>16</v>
      </c>
    </row>
    <row r="251">
      <c r="A251" s="6" t="s">
        <v>35</v>
      </c>
      <c r="B251" s="6">
        <v>2024.0</v>
      </c>
      <c r="C251" s="6">
        <v>419.7014286</v>
      </c>
      <c r="D251" s="6">
        <v>322.83</v>
      </c>
      <c r="E251" s="6">
        <v>42.85571429</v>
      </c>
      <c r="F251" s="6">
        <v>25.83571429</v>
      </c>
      <c r="G251" s="6">
        <v>22.13857143</v>
      </c>
      <c r="H251" s="6">
        <v>1516.604286</v>
      </c>
      <c r="I251" s="6">
        <v>2.425714286</v>
      </c>
      <c r="J251" s="6" t="s">
        <v>25</v>
      </c>
    </row>
    <row r="252">
      <c r="A252" s="6" t="s">
        <v>36</v>
      </c>
      <c r="B252" s="6">
        <v>2000.0</v>
      </c>
      <c r="C252" s="6">
        <v>605.2566667</v>
      </c>
      <c r="D252" s="6">
        <v>282.8583333</v>
      </c>
      <c r="E252" s="6">
        <v>50.405</v>
      </c>
      <c r="F252" s="6">
        <v>26.69666667</v>
      </c>
      <c r="G252" s="6">
        <v>25.07166667</v>
      </c>
      <c r="H252" s="6">
        <v>2079.768333</v>
      </c>
      <c r="I252" s="6">
        <v>3.885</v>
      </c>
      <c r="J252" s="6" t="s">
        <v>16</v>
      </c>
    </row>
    <row r="253">
      <c r="A253" s="6" t="s">
        <v>36</v>
      </c>
      <c r="B253" s="6">
        <v>2001.0</v>
      </c>
      <c r="C253" s="6">
        <v>549.427</v>
      </c>
      <c r="D253" s="6">
        <v>293.662</v>
      </c>
      <c r="E253" s="6">
        <v>51.609</v>
      </c>
      <c r="F253" s="6">
        <v>31.296</v>
      </c>
      <c r="G253" s="6">
        <v>25.999</v>
      </c>
      <c r="H253" s="6">
        <v>1716.702</v>
      </c>
      <c r="I253" s="6">
        <v>2.47</v>
      </c>
      <c r="J253" s="6" t="s">
        <v>16</v>
      </c>
    </row>
    <row r="254">
      <c r="A254" s="6" t="s">
        <v>36</v>
      </c>
      <c r="B254" s="6">
        <v>2002.0</v>
      </c>
      <c r="C254" s="6">
        <v>499.0583333</v>
      </c>
      <c r="D254" s="6">
        <v>244.6291667</v>
      </c>
      <c r="E254" s="6">
        <v>50.7425</v>
      </c>
      <c r="F254" s="6">
        <v>28.01</v>
      </c>
      <c r="G254" s="6">
        <v>21.96166667</v>
      </c>
      <c r="H254" s="6">
        <v>1308.203333</v>
      </c>
      <c r="I254" s="6">
        <v>2.136666667</v>
      </c>
      <c r="J254" s="6" t="s">
        <v>16</v>
      </c>
    </row>
    <row r="255">
      <c r="A255" s="6" t="s">
        <v>36</v>
      </c>
      <c r="B255" s="6">
        <v>2003.0</v>
      </c>
      <c r="C255" s="6">
        <v>560.356</v>
      </c>
      <c r="D255" s="6">
        <v>262.8046667</v>
      </c>
      <c r="E255" s="6">
        <v>46.018</v>
      </c>
      <c r="F255" s="6">
        <v>31.83266667</v>
      </c>
      <c r="G255" s="6">
        <v>23.174</v>
      </c>
      <c r="H255" s="6">
        <v>1422.652667</v>
      </c>
      <c r="I255" s="6">
        <v>2.338</v>
      </c>
      <c r="J255" s="6" t="s">
        <v>16</v>
      </c>
    </row>
    <row r="256">
      <c r="A256" s="6" t="s">
        <v>36</v>
      </c>
      <c r="B256" s="6">
        <v>2004.0</v>
      </c>
      <c r="C256" s="6">
        <v>437.505</v>
      </c>
      <c r="D256" s="6">
        <v>248.0416667</v>
      </c>
      <c r="E256" s="6">
        <v>56.60833333</v>
      </c>
      <c r="F256" s="6">
        <v>32.17833333</v>
      </c>
      <c r="G256" s="6">
        <v>24.78333333</v>
      </c>
      <c r="H256" s="6">
        <v>1580.083333</v>
      </c>
      <c r="I256" s="6">
        <v>2.118333333</v>
      </c>
      <c r="J256" s="6" t="s">
        <v>16</v>
      </c>
    </row>
    <row r="257">
      <c r="A257" s="6" t="s">
        <v>36</v>
      </c>
      <c r="B257" s="6">
        <v>2005.0</v>
      </c>
      <c r="C257" s="6">
        <v>456.06</v>
      </c>
      <c r="D257" s="6">
        <v>360.4316667</v>
      </c>
      <c r="E257" s="6">
        <v>28.905</v>
      </c>
      <c r="F257" s="6">
        <v>29.17</v>
      </c>
      <c r="G257" s="6">
        <v>28.085</v>
      </c>
      <c r="H257" s="6">
        <v>1240.253333</v>
      </c>
      <c r="I257" s="6">
        <v>2.975</v>
      </c>
      <c r="J257" s="6" t="s">
        <v>25</v>
      </c>
    </row>
    <row r="258">
      <c r="A258" s="6" t="s">
        <v>36</v>
      </c>
      <c r="B258" s="6">
        <v>2006.0</v>
      </c>
      <c r="C258" s="6">
        <v>463.24</v>
      </c>
      <c r="D258" s="6">
        <v>365.94</v>
      </c>
      <c r="E258" s="6">
        <v>44.77</v>
      </c>
      <c r="F258" s="6">
        <v>33.96428571</v>
      </c>
      <c r="G258" s="6">
        <v>29.82857143</v>
      </c>
      <c r="H258" s="6">
        <v>1723.55</v>
      </c>
      <c r="I258" s="6">
        <v>2.51</v>
      </c>
      <c r="J258" s="6" t="s">
        <v>25</v>
      </c>
    </row>
    <row r="259">
      <c r="A259" s="6" t="s">
        <v>36</v>
      </c>
      <c r="B259" s="6">
        <v>2007.0</v>
      </c>
      <c r="C259" s="6">
        <v>402.7142857</v>
      </c>
      <c r="D259" s="6">
        <v>285.4871429</v>
      </c>
      <c r="E259" s="6">
        <v>57.56714286</v>
      </c>
      <c r="F259" s="6">
        <v>23.13571429</v>
      </c>
      <c r="G259" s="6">
        <v>27.50714286</v>
      </c>
      <c r="H259" s="6">
        <v>1596.588571</v>
      </c>
      <c r="I259" s="6">
        <v>1.928571429</v>
      </c>
      <c r="J259" s="6" t="s">
        <v>16</v>
      </c>
    </row>
    <row r="260">
      <c r="A260" s="6" t="s">
        <v>36</v>
      </c>
      <c r="B260" s="6">
        <v>2008.0</v>
      </c>
      <c r="C260" s="6">
        <v>392.917</v>
      </c>
      <c r="D260" s="6">
        <v>220.327</v>
      </c>
      <c r="E260" s="6">
        <v>46.151</v>
      </c>
      <c r="F260" s="6">
        <v>34.807</v>
      </c>
      <c r="G260" s="6">
        <v>21.849</v>
      </c>
      <c r="H260" s="6">
        <v>1556.853</v>
      </c>
      <c r="I260" s="6">
        <v>1.898</v>
      </c>
      <c r="J260" s="6" t="s">
        <v>16</v>
      </c>
    </row>
    <row r="261">
      <c r="A261" s="6" t="s">
        <v>36</v>
      </c>
      <c r="B261" s="6">
        <v>2009.0</v>
      </c>
      <c r="C261" s="6">
        <v>610.65</v>
      </c>
      <c r="D261" s="6">
        <v>278.154</v>
      </c>
      <c r="E261" s="6">
        <v>51.512</v>
      </c>
      <c r="F261" s="6">
        <v>33.414</v>
      </c>
      <c r="G261" s="6">
        <v>22.852</v>
      </c>
      <c r="H261" s="6">
        <v>973.144</v>
      </c>
      <c r="I261" s="6">
        <v>2.44</v>
      </c>
      <c r="J261" s="6" t="s">
        <v>16</v>
      </c>
    </row>
    <row r="262">
      <c r="A262" s="6" t="s">
        <v>36</v>
      </c>
      <c r="B262" s="6">
        <v>2010.0</v>
      </c>
      <c r="C262" s="6">
        <v>441.6038462</v>
      </c>
      <c r="D262" s="6">
        <v>250.6561538</v>
      </c>
      <c r="E262" s="6">
        <v>48.16384615</v>
      </c>
      <c r="F262" s="6">
        <v>27.15692308</v>
      </c>
      <c r="G262" s="6">
        <v>22.44230769</v>
      </c>
      <c r="H262" s="6">
        <v>1379.128462</v>
      </c>
      <c r="I262" s="6">
        <v>2.357692308</v>
      </c>
      <c r="J262" s="6" t="s">
        <v>16</v>
      </c>
    </row>
    <row r="263">
      <c r="A263" s="6" t="s">
        <v>36</v>
      </c>
      <c r="B263" s="6">
        <v>2011.0</v>
      </c>
      <c r="C263" s="6">
        <v>559.7</v>
      </c>
      <c r="D263" s="6">
        <v>313.43125</v>
      </c>
      <c r="E263" s="6">
        <v>52.77</v>
      </c>
      <c r="F263" s="6">
        <v>28.69125</v>
      </c>
      <c r="G263" s="6">
        <v>23.74</v>
      </c>
      <c r="H263" s="6">
        <v>1103.30875</v>
      </c>
      <c r="I263" s="6">
        <v>2.5025</v>
      </c>
      <c r="J263" s="6" t="s">
        <v>25</v>
      </c>
    </row>
    <row r="264">
      <c r="A264" s="6" t="s">
        <v>36</v>
      </c>
      <c r="B264" s="6">
        <v>2012.0</v>
      </c>
      <c r="C264" s="6">
        <v>526.375</v>
      </c>
      <c r="D264" s="6">
        <v>205.20125</v>
      </c>
      <c r="E264" s="6">
        <v>59.79875</v>
      </c>
      <c r="F264" s="6">
        <v>17.805</v>
      </c>
      <c r="G264" s="6">
        <v>26.49625</v>
      </c>
      <c r="H264" s="6">
        <v>1247.94</v>
      </c>
      <c r="I264" s="6">
        <v>2.56125</v>
      </c>
      <c r="J264" s="6" t="s">
        <v>16</v>
      </c>
    </row>
    <row r="265">
      <c r="A265" s="6" t="s">
        <v>36</v>
      </c>
      <c r="B265" s="6">
        <v>2013.0</v>
      </c>
      <c r="C265" s="6">
        <v>476.1544444</v>
      </c>
      <c r="D265" s="6">
        <v>258.7655556</v>
      </c>
      <c r="E265" s="6">
        <v>51.79222222</v>
      </c>
      <c r="F265" s="6">
        <v>37.92888889</v>
      </c>
      <c r="G265" s="6">
        <v>25.17555556</v>
      </c>
      <c r="H265" s="6">
        <v>2137.826667</v>
      </c>
      <c r="I265" s="6">
        <v>1.605555556</v>
      </c>
      <c r="J265" s="6" t="s">
        <v>16</v>
      </c>
    </row>
    <row r="266">
      <c r="A266" s="6" t="s">
        <v>36</v>
      </c>
      <c r="B266" s="6">
        <v>2014.0</v>
      </c>
      <c r="C266" s="6">
        <v>536.5088889</v>
      </c>
      <c r="D266" s="6">
        <v>248.0744444</v>
      </c>
      <c r="E266" s="6">
        <v>47.61111111</v>
      </c>
      <c r="F266" s="6">
        <v>21.34222222</v>
      </c>
      <c r="G266" s="6">
        <v>22.66111111</v>
      </c>
      <c r="H266" s="6">
        <v>1876.263333</v>
      </c>
      <c r="I266" s="6">
        <v>2.435555556</v>
      </c>
      <c r="J266" s="6" t="s">
        <v>16</v>
      </c>
    </row>
    <row r="267">
      <c r="A267" s="6" t="s">
        <v>36</v>
      </c>
      <c r="B267" s="6">
        <v>2015.0</v>
      </c>
      <c r="C267" s="6">
        <v>410.5642857</v>
      </c>
      <c r="D267" s="6">
        <v>285.1157143</v>
      </c>
      <c r="E267" s="6">
        <v>45.18428571</v>
      </c>
      <c r="F267" s="6">
        <v>25.38428571</v>
      </c>
      <c r="G267" s="6">
        <v>28.46714286</v>
      </c>
      <c r="H267" s="6">
        <v>1414.305714</v>
      </c>
      <c r="I267" s="6">
        <v>2.47</v>
      </c>
      <c r="J267" s="6" t="s">
        <v>16</v>
      </c>
    </row>
    <row r="268">
      <c r="A268" s="6" t="s">
        <v>36</v>
      </c>
      <c r="B268" s="6">
        <v>2016.0</v>
      </c>
      <c r="C268" s="6">
        <v>615.8707692</v>
      </c>
      <c r="D268" s="6">
        <v>248.1176923</v>
      </c>
      <c r="E268" s="6">
        <v>55.42307692</v>
      </c>
      <c r="F268" s="6">
        <v>27.03230769</v>
      </c>
      <c r="G268" s="6">
        <v>26.00923077</v>
      </c>
      <c r="H268" s="6">
        <v>2127.22</v>
      </c>
      <c r="I268" s="6">
        <v>2.722307692</v>
      </c>
      <c r="J268" s="6" t="s">
        <v>16</v>
      </c>
    </row>
    <row r="269">
      <c r="A269" s="6" t="s">
        <v>36</v>
      </c>
      <c r="B269" s="6">
        <v>2017.0</v>
      </c>
      <c r="C269" s="6">
        <v>576.0422222</v>
      </c>
      <c r="D269" s="6">
        <v>211.9377778</v>
      </c>
      <c r="E269" s="6">
        <v>49.09333333</v>
      </c>
      <c r="F269" s="6">
        <v>24.06888889</v>
      </c>
      <c r="G269" s="6">
        <v>27.21111111</v>
      </c>
      <c r="H269" s="6">
        <v>1715.264444</v>
      </c>
      <c r="I269" s="6">
        <v>2.296666667</v>
      </c>
      <c r="J269" s="6" t="s">
        <v>16</v>
      </c>
    </row>
    <row r="270">
      <c r="A270" s="6" t="s">
        <v>36</v>
      </c>
      <c r="B270" s="6">
        <v>2018.0</v>
      </c>
      <c r="C270" s="6">
        <v>664.3883333</v>
      </c>
      <c r="D270" s="6">
        <v>290.5833333</v>
      </c>
      <c r="E270" s="6">
        <v>37.62333333</v>
      </c>
      <c r="F270" s="6">
        <v>31.04833333</v>
      </c>
      <c r="G270" s="6">
        <v>25.97</v>
      </c>
      <c r="H270" s="6">
        <v>1057.183333</v>
      </c>
      <c r="I270" s="6">
        <v>3.408333333</v>
      </c>
      <c r="J270" s="6" t="s">
        <v>16</v>
      </c>
    </row>
    <row r="271">
      <c r="A271" s="6" t="s">
        <v>36</v>
      </c>
      <c r="B271" s="6">
        <v>2019.0</v>
      </c>
      <c r="C271" s="6">
        <v>582.8723077</v>
      </c>
      <c r="D271" s="6">
        <v>241.0176923</v>
      </c>
      <c r="E271" s="6">
        <v>45.56461538</v>
      </c>
      <c r="F271" s="6">
        <v>30.94615385</v>
      </c>
      <c r="G271" s="6">
        <v>25.16769231</v>
      </c>
      <c r="H271" s="6">
        <v>1788.149231</v>
      </c>
      <c r="I271" s="6">
        <v>2.378461538</v>
      </c>
      <c r="J271" s="6" t="s">
        <v>16</v>
      </c>
    </row>
    <row r="272">
      <c r="A272" s="6" t="s">
        <v>36</v>
      </c>
      <c r="B272" s="6">
        <v>2020.0</v>
      </c>
      <c r="C272" s="6">
        <v>211.8166667</v>
      </c>
      <c r="D272" s="6">
        <v>275.4433333</v>
      </c>
      <c r="E272" s="6">
        <v>63.69</v>
      </c>
      <c r="F272" s="6">
        <v>25.29333333</v>
      </c>
      <c r="G272" s="6">
        <v>20.76</v>
      </c>
      <c r="H272" s="6">
        <v>2151.44</v>
      </c>
      <c r="I272" s="6">
        <v>1.966666667</v>
      </c>
      <c r="J272" s="6" t="s">
        <v>16</v>
      </c>
    </row>
    <row r="273">
      <c r="A273" s="6" t="s">
        <v>36</v>
      </c>
      <c r="B273" s="6">
        <v>2021.0</v>
      </c>
      <c r="C273" s="6">
        <v>423.3775</v>
      </c>
      <c r="D273" s="6">
        <v>323.10125</v>
      </c>
      <c r="E273" s="6">
        <v>45.98875</v>
      </c>
      <c r="F273" s="6">
        <v>30.5575</v>
      </c>
      <c r="G273" s="6">
        <v>28.1375</v>
      </c>
      <c r="H273" s="6">
        <v>1272.9025</v>
      </c>
      <c r="I273" s="6">
        <v>3.12</v>
      </c>
      <c r="J273" s="6" t="s">
        <v>25</v>
      </c>
    </row>
    <row r="274">
      <c r="A274" s="6" t="s">
        <v>36</v>
      </c>
      <c r="B274" s="6">
        <v>2022.0</v>
      </c>
      <c r="C274" s="6">
        <v>615.154</v>
      </c>
      <c r="D274" s="6">
        <v>217.178</v>
      </c>
      <c r="E274" s="6">
        <v>51.732</v>
      </c>
      <c r="F274" s="6">
        <v>35.16</v>
      </c>
      <c r="G274" s="6">
        <v>23.86</v>
      </c>
      <c r="H274" s="6">
        <v>2533.678</v>
      </c>
      <c r="I274" s="6">
        <v>2.248</v>
      </c>
      <c r="J274" s="6" t="s">
        <v>16</v>
      </c>
    </row>
    <row r="275">
      <c r="A275" s="6" t="s">
        <v>36</v>
      </c>
      <c r="B275" s="6">
        <v>2023.0</v>
      </c>
      <c r="C275" s="6">
        <v>345.694</v>
      </c>
      <c r="D275" s="6">
        <v>303.654</v>
      </c>
      <c r="E275" s="6">
        <v>47.402</v>
      </c>
      <c r="F275" s="6">
        <v>25.298</v>
      </c>
      <c r="G275" s="6">
        <v>25.886</v>
      </c>
      <c r="H275" s="6">
        <v>976.542</v>
      </c>
      <c r="I275" s="6">
        <v>2.942</v>
      </c>
      <c r="J275" s="6" t="s">
        <v>25</v>
      </c>
    </row>
    <row r="276">
      <c r="A276" s="6" t="s">
        <v>36</v>
      </c>
      <c r="B276" s="6">
        <v>2024.0</v>
      </c>
      <c r="C276" s="6">
        <v>622.3766667</v>
      </c>
      <c r="D276" s="6">
        <v>240.0583333</v>
      </c>
      <c r="E276" s="6">
        <v>51.85333333</v>
      </c>
      <c r="F276" s="6">
        <v>28.32833333</v>
      </c>
      <c r="G276" s="6">
        <v>21.41333333</v>
      </c>
      <c r="H276" s="6">
        <v>1524.228333</v>
      </c>
      <c r="I276" s="6">
        <v>1.54</v>
      </c>
      <c r="J276" s="6" t="s">
        <v>16</v>
      </c>
    </row>
    <row r="277">
      <c r="A277" s="6" t="s">
        <v>37</v>
      </c>
      <c r="B277" s="6">
        <v>2000.0</v>
      </c>
      <c r="C277" s="6">
        <v>529.0325</v>
      </c>
      <c r="D277" s="6">
        <v>252.6575</v>
      </c>
      <c r="E277" s="6">
        <v>47.1675</v>
      </c>
      <c r="F277" s="6">
        <v>32.75625</v>
      </c>
      <c r="G277" s="6">
        <v>21.59</v>
      </c>
      <c r="H277" s="6">
        <v>1518.33</v>
      </c>
      <c r="I277" s="6">
        <v>2.68375</v>
      </c>
      <c r="J277" s="6" t="s">
        <v>16</v>
      </c>
    </row>
    <row r="278">
      <c r="A278" s="6" t="s">
        <v>37</v>
      </c>
      <c r="B278" s="6">
        <v>2001.0</v>
      </c>
      <c r="C278" s="6">
        <v>471.7709091</v>
      </c>
      <c r="D278" s="6">
        <v>269.47</v>
      </c>
      <c r="E278" s="6">
        <v>41.80727273</v>
      </c>
      <c r="F278" s="6">
        <v>32.28818182</v>
      </c>
      <c r="G278" s="6">
        <v>25.15</v>
      </c>
      <c r="H278" s="6">
        <v>997.6227273</v>
      </c>
      <c r="I278" s="6">
        <v>2.616363636</v>
      </c>
      <c r="J278" s="6" t="s">
        <v>16</v>
      </c>
    </row>
    <row r="279">
      <c r="A279" s="6" t="s">
        <v>37</v>
      </c>
      <c r="B279" s="6">
        <v>2002.0</v>
      </c>
      <c r="C279" s="6">
        <v>279.071</v>
      </c>
      <c r="D279" s="6">
        <v>139.861</v>
      </c>
      <c r="E279" s="6">
        <v>54.665</v>
      </c>
      <c r="F279" s="6">
        <v>22.814</v>
      </c>
      <c r="G279" s="6">
        <v>20.089</v>
      </c>
      <c r="H279" s="6">
        <v>1182.428</v>
      </c>
      <c r="I279" s="6">
        <v>2.564</v>
      </c>
      <c r="J279" s="6" t="s">
        <v>28</v>
      </c>
    </row>
    <row r="280">
      <c r="A280" s="6" t="s">
        <v>37</v>
      </c>
      <c r="B280" s="6">
        <v>2003.0</v>
      </c>
      <c r="C280" s="6">
        <v>504.06625</v>
      </c>
      <c r="D280" s="6">
        <v>304.75</v>
      </c>
      <c r="E280" s="6">
        <v>55.7475</v>
      </c>
      <c r="F280" s="6">
        <v>28.84875</v>
      </c>
      <c r="G280" s="6">
        <v>29.12625</v>
      </c>
      <c r="H280" s="6">
        <v>1651.06125</v>
      </c>
      <c r="I280" s="6">
        <v>3.4125</v>
      </c>
      <c r="J280" s="6" t="s">
        <v>25</v>
      </c>
    </row>
    <row r="281">
      <c r="A281" s="6" t="s">
        <v>37</v>
      </c>
      <c r="B281" s="6">
        <v>2004.0</v>
      </c>
      <c r="C281" s="6">
        <v>524.3077778</v>
      </c>
      <c r="D281" s="6">
        <v>302.4922222</v>
      </c>
      <c r="E281" s="6">
        <v>45.33444444</v>
      </c>
      <c r="F281" s="6">
        <v>25.66</v>
      </c>
      <c r="G281" s="6">
        <v>26.57333333</v>
      </c>
      <c r="H281" s="6">
        <v>2115.708889</v>
      </c>
      <c r="I281" s="6">
        <v>2.578888889</v>
      </c>
      <c r="J281" s="6" t="s">
        <v>25</v>
      </c>
    </row>
    <row r="282">
      <c r="A282" s="6" t="s">
        <v>37</v>
      </c>
      <c r="B282" s="6">
        <v>2005.0</v>
      </c>
      <c r="C282" s="6">
        <v>511.0575</v>
      </c>
      <c r="D282" s="6">
        <v>217.07</v>
      </c>
      <c r="E282" s="6">
        <v>55.8325</v>
      </c>
      <c r="F282" s="6">
        <v>29.0225</v>
      </c>
      <c r="G282" s="6">
        <v>19.915</v>
      </c>
      <c r="H282" s="6">
        <v>1283.9425</v>
      </c>
      <c r="I282" s="6">
        <v>1.615</v>
      </c>
      <c r="J282" s="6" t="s">
        <v>16</v>
      </c>
    </row>
    <row r="283">
      <c r="A283" s="6" t="s">
        <v>37</v>
      </c>
      <c r="B283" s="6">
        <v>2006.0</v>
      </c>
      <c r="C283" s="6">
        <v>447.81</v>
      </c>
      <c r="D283" s="6">
        <v>338.596</v>
      </c>
      <c r="E283" s="6">
        <v>40.47</v>
      </c>
      <c r="F283" s="6">
        <v>19.962</v>
      </c>
      <c r="G283" s="6">
        <v>16.608</v>
      </c>
      <c r="H283" s="6">
        <v>1297.068</v>
      </c>
      <c r="I283" s="6">
        <v>2.816</v>
      </c>
      <c r="J283" s="6" t="s">
        <v>25</v>
      </c>
    </row>
    <row r="284">
      <c r="A284" s="6" t="s">
        <v>37</v>
      </c>
      <c r="B284" s="6">
        <v>2007.0</v>
      </c>
      <c r="C284" s="6">
        <v>527.2194118</v>
      </c>
      <c r="D284" s="6">
        <v>281.4670588</v>
      </c>
      <c r="E284" s="6">
        <v>50.69</v>
      </c>
      <c r="F284" s="6">
        <v>28.98352941</v>
      </c>
      <c r="G284" s="6">
        <v>22.66058824</v>
      </c>
      <c r="H284" s="6">
        <v>1214.260588</v>
      </c>
      <c r="I284" s="6">
        <v>2.822941176</v>
      </c>
      <c r="J284" s="6" t="s">
        <v>16</v>
      </c>
    </row>
    <row r="285">
      <c r="A285" s="6" t="s">
        <v>37</v>
      </c>
      <c r="B285" s="6">
        <v>2008.0</v>
      </c>
      <c r="C285" s="6">
        <v>481.4027273</v>
      </c>
      <c r="D285" s="6">
        <v>209.2172727</v>
      </c>
      <c r="E285" s="6">
        <v>41.34727273</v>
      </c>
      <c r="F285" s="6">
        <v>24.89909091</v>
      </c>
      <c r="G285" s="6">
        <v>25.52363636</v>
      </c>
      <c r="H285" s="6">
        <v>1555.136364</v>
      </c>
      <c r="I285" s="6">
        <v>3.390909091</v>
      </c>
      <c r="J285" s="6" t="s">
        <v>16</v>
      </c>
    </row>
    <row r="286">
      <c r="A286" s="6" t="s">
        <v>37</v>
      </c>
      <c r="B286" s="6">
        <v>2009.0</v>
      </c>
      <c r="C286" s="6">
        <v>390.4118182</v>
      </c>
      <c r="D286" s="6">
        <v>267.8381818</v>
      </c>
      <c r="E286" s="6">
        <v>48.48181818</v>
      </c>
      <c r="F286" s="6">
        <v>27.35727273</v>
      </c>
      <c r="G286" s="6">
        <v>30.72</v>
      </c>
      <c r="H286" s="6">
        <v>1087.198182</v>
      </c>
      <c r="I286" s="6">
        <v>3.145454545</v>
      </c>
      <c r="J286" s="6" t="s">
        <v>16</v>
      </c>
    </row>
    <row r="287">
      <c r="A287" s="6" t="s">
        <v>37</v>
      </c>
      <c r="B287" s="6">
        <v>2010.0</v>
      </c>
      <c r="C287" s="6">
        <v>382.29375</v>
      </c>
      <c r="D287" s="6">
        <v>253.975</v>
      </c>
      <c r="E287" s="6">
        <v>49.49</v>
      </c>
      <c r="F287" s="6">
        <v>24.07</v>
      </c>
      <c r="G287" s="6">
        <v>24.1275</v>
      </c>
      <c r="H287" s="6">
        <v>1290.69375</v>
      </c>
      <c r="I287" s="6">
        <v>2.91125</v>
      </c>
      <c r="J287" s="6" t="s">
        <v>16</v>
      </c>
    </row>
    <row r="288">
      <c r="A288" s="6" t="s">
        <v>37</v>
      </c>
      <c r="B288" s="6">
        <v>2011.0</v>
      </c>
      <c r="C288" s="6">
        <v>495.2055556</v>
      </c>
      <c r="D288" s="6">
        <v>295.8911111</v>
      </c>
      <c r="E288" s="6">
        <v>54.73777778</v>
      </c>
      <c r="F288" s="6">
        <v>29.81111111</v>
      </c>
      <c r="G288" s="6">
        <v>23.83333333</v>
      </c>
      <c r="H288" s="6">
        <v>1816.573333</v>
      </c>
      <c r="I288" s="6">
        <v>2.331111111</v>
      </c>
      <c r="J288" s="6" t="s">
        <v>16</v>
      </c>
    </row>
    <row r="289">
      <c r="A289" s="6" t="s">
        <v>37</v>
      </c>
      <c r="B289" s="6">
        <v>2012.0</v>
      </c>
      <c r="C289" s="6">
        <v>500.088</v>
      </c>
      <c r="D289" s="6">
        <v>279.926</v>
      </c>
      <c r="E289" s="6">
        <v>51.402</v>
      </c>
      <c r="F289" s="6">
        <v>24.772</v>
      </c>
      <c r="G289" s="6">
        <v>29.212</v>
      </c>
      <c r="H289" s="6">
        <v>1884.564</v>
      </c>
      <c r="I289" s="6">
        <v>4.322</v>
      </c>
      <c r="J289" s="6" t="s">
        <v>16</v>
      </c>
    </row>
    <row r="290">
      <c r="A290" s="6" t="s">
        <v>37</v>
      </c>
      <c r="B290" s="6">
        <v>2013.0</v>
      </c>
      <c r="C290" s="6">
        <v>403.5377778</v>
      </c>
      <c r="D290" s="6">
        <v>276.3755556</v>
      </c>
      <c r="E290" s="6">
        <v>44.10222222</v>
      </c>
      <c r="F290" s="6">
        <v>23.74666667</v>
      </c>
      <c r="G290" s="6">
        <v>25.07222222</v>
      </c>
      <c r="H290" s="6">
        <v>1595.263333</v>
      </c>
      <c r="I290" s="6">
        <v>2.254444444</v>
      </c>
      <c r="J290" s="6" t="s">
        <v>16</v>
      </c>
    </row>
    <row r="291">
      <c r="A291" s="6" t="s">
        <v>37</v>
      </c>
      <c r="B291" s="6">
        <v>2014.0</v>
      </c>
      <c r="C291" s="6">
        <v>546.7514286</v>
      </c>
      <c r="D291" s="6">
        <v>361.96</v>
      </c>
      <c r="E291" s="6">
        <v>47.98857143</v>
      </c>
      <c r="F291" s="6">
        <v>28.53714286</v>
      </c>
      <c r="G291" s="6">
        <v>24.43142857</v>
      </c>
      <c r="H291" s="6">
        <v>1973.05</v>
      </c>
      <c r="I291" s="6">
        <v>3.531428571</v>
      </c>
      <c r="J291" s="6" t="s">
        <v>25</v>
      </c>
    </row>
    <row r="292">
      <c r="A292" s="6" t="s">
        <v>37</v>
      </c>
      <c r="B292" s="6">
        <v>2015.0</v>
      </c>
      <c r="C292" s="6">
        <v>470.1977778</v>
      </c>
      <c r="D292" s="6">
        <v>260.4866667</v>
      </c>
      <c r="E292" s="6">
        <v>49.26777778</v>
      </c>
      <c r="F292" s="6">
        <v>29.56333333</v>
      </c>
      <c r="G292" s="6">
        <v>21.92444444</v>
      </c>
      <c r="H292" s="6">
        <v>1687.868889</v>
      </c>
      <c r="I292" s="6">
        <v>2.657777778</v>
      </c>
      <c r="J292" s="6" t="s">
        <v>16</v>
      </c>
    </row>
    <row r="293">
      <c r="A293" s="6" t="s">
        <v>37</v>
      </c>
      <c r="B293" s="6">
        <v>2016.0</v>
      </c>
      <c r="C293" s="6">
        <v>385.3891667</v>
      </c>
      <c r="D293" s="6">
        <v>294.7716667</v>
      </c>
      <c r="E293" s="6">
        <v>50.54</v>
      </c>
      <c r="F293" s="6">
        <v>29.06666667</v>
      </c>
      <c r="G293" s="6">
        <v>28.185</v>
      </c>
      <c r="H293" s="6">
        <v>1550.536667</v>
      </c>
      <c r="I293" s="6">
        <v>2.680833333</v>
      </c>
      <c r="J293" s="6" t="s">
        <v>16</v>
      </c>
    </row>
    <row r="294">
      <c r="A294" s="6" t="s">
        <v>37</v>
      </c>
      <c r="B294" s="6">
        <v>2017.0</v>
      </c>
      <c r="C294" s="6">
        <v>527.1433333</v>
      </c>
      <c r="D294" s="6">
        <v>286.9916667</v>
      </c>
      <c r="E294" s="6">
        <v>51.02833333</v>
      </c>
      <c r="F294" s="6">
        <v>29.20833333</v>
      </c>
      <c r="G294" s="6">
        <v>17.25333333</v>
      </c>
      <c r="H294" s="6">
        <v>1895.056667</v>
      </c>
      <c r="I294" s="6">
        <v>2.795</v>
      </c>
      <c r="J294" s="6" t="s">
        <v>16</v>
      </c>
    </row>
    <row r="295">
      <c r="A295" s="6" t="s">
        <v>37</v>
      </c>
      <c r="B295" s="6">
        <v>2018.0</v>
      </c>
      <c r="C295" s="6">
        <v>654.6228571</v>
      </c>
      <c r="D295" s="6">
        <v>357.5371429</v>
      </c>
      <c r="E295" s="6">
        <v>65.28</v>
      </c>
      <c r="F295" s="6">
        <v>29.65285714</v>
      </c>
      <c r="G295" s="6">
        <v>27.21</v>
      </c>
      <c r="H295" s="6">
        <v>1482.394286</v>
      </c>
      <c r="I295" s="6">
        <v>2.504285714</v>
      </c>
      <c r="J295" s="6" t="s">
        <v>25</v>
      </c>
    </row>
    <row r="296">
      <c r="A296" s="6" t="s">
        <v>37</v>
      </c>
      <c r="B296" s="6">
        <v>2019.0</v>
      </c>
      <c r="C296" s="6">
        <v>480.0157143</v>
      </c>
      <c r="D296" s="6">
        <v>292.8628571</v>
      </c>
      <c r="E296" s="6">
        <v>48.54714286</v>
      </c>
      <c r="F296" s="6">
        <v>31.42285714</v>
      </c>
      <c r="G296" s="6">
        <v>30.50285714</v>
      </c>
      <c r="H296" s="6">
        <v>1064.121429</v>
      </c>
      <c r="I296" s="6">
        <v>2.945714286</v>
      </c>
      <c r="J296" s="6" t="s">
        <v>16</v>
      </c>
    </row>
    <row r="297">
      <c r="A297" s="6" t="s">
        <v>37</v>
      </c>
      <c r="B297" s="6">
        <v>2020.0</v>
      </c>
      <c r="C297" s="6">
        <v>558.9775</v>
      </c>
      <c r="D297" s="6">
        <v>280.235</v>
      </c>
      <c r="E297" s="6">
        <v>48.74</v>
      </c>
      <c r="F297" s="6">
        <v>28.67375</v>
      </c>
      <c r="G297" s="6">
        <v>24.7675</v>
      </c>
      <c r="H297" s="6">
        <v>1445.1175</v>
      </c>
      <c r="I297" s="6">
        <v>2.225</v>
      </c>
      <c r="J297" s="6" t="s">
        <v>16</v>
      </c>
    </row>
    <row r="298">
      <c r="A298" s="6" t="s">
        <v>37</v>
      </c>
      <c r="B298" s="6">
        <v>2021.0</v>
      </c>
      <c r="C298" s="6">
        <v>533.3408333</v>
      </c>
      <c r="D298" s="6">
        <v>284.8758333</v>
      </c>
      <c r="E298" s="6">
        <v>50.88833333</v>
      </c>
      <c r="F298" s="6">
        <v>27.99833333</v>
      </c>
      <c r="G298" s="6">
        <v>26.29</v>
      </c>
      <c r="H298" s="6">
        <v>1474.941667</v>
      </c>
      <c r="I298" s="6">
        <v>2.3875</v>
      </c>
      <c r="J298" s="6" t="s">
        <v>16</v>
      </c>
    </row>
    <row r="299">
      <c r="A299" s="6" t="s">
        <v>37</v>
      </c>
      <c r="B299" s="6">
        <v>2022.0</v>
      </c>
      <c r="C299" s="6">
        <v>497.698</v>
      </c>
      <c r="D299" s="6">
        <v>329.624</v>
      </c>
      <c r="E299" s="6">
        <v>44.794</v>
      </c>
      <c r="F299" s="6">
        <v>35.534</v>
      </c>
      <c r="G299" s="6">
        <v>22.251</v>
      </c>
      <c r="H299" s="6">
        <v>1390.446</v>
      </c>
      <c r="I299" s="6">
        <v>2.851</v>
      </c>
      <c r="J299" s="6" t="s">
        <v>25</v>
      </c>
    </row>
    <row r="300">
      <c r="A300" s="6" t="s">
        <v>37</v>
      </c>
      <c r="B300" s="6">
        <v>2023.0</v>
      </c>
      <c r="C300" s="6">
        <v>504.0633333</v>
      </c>
      <c r="D300" s="6">
        <v>298.59</v>
      </c>
      <c r="E300" s="6">
        <v>48.9175</v>
      </c>
      <c r="F300" s="6">
        <v>26.1</v>
      </c>
      <c r="G300" s="6">
        <v>24.755</v>
      </c>
      <c r="H300" s="6">
        <v>1422.039167</v>
      </c>
      <c r="I300" s="6">
        <v>3.045833333</v>
      </c>
      <c r="J300" s="6" t="s">
        <v>16</v>
      </c>
    </row>
    <row r="301">
      <c r="A301" s="6" t="s">
        <v>37</v>
      </c>
      <c r="B301" s="6">
        <v>2024.0</v>
      </c>
      <c r="C301" s="6">
        <v>452.5793333</v>
      </c>
      <c r="D301" s="6">
        <v>234.94</v>
      </c>
      <c r="E301" s="6">
        <v>54.43333333</v>
      </c>
      <c r="F301" s="6">
        <v>28.978</v>
      </c>
      <c r="G301" s="6">
        <v>21.60866667</v>
      </c>
      <c r="H301" s="6">
        <v>1448.624667</v>
      </c>
      <c r="I301" s="6">
        <v>2.885333333</v>
      </c>
      <c r="J301" s="6" t="s">
        <v>16</v>
      </c>
    </row>
    <row r="302">
      <c r="A302" s="6" t="s">
        <v>38</v>
      </c>
      <c r="B302" s="6">
        <v>2000.0</v>
      </c>
      <c r="C302" s="6">
        <v>544.9992308</v>
      </c>
      <c r="D302" s="6">
        <v>266.1069231</v>
      </c>
      <c r="E302" s="6">
        <v>54.25615385</v>
      </c>
      <c r="F302" s="6">
        <v>25.18461538</v>
      </c>
      <c r="G302" s="6">
        <v>23.83692308</v>
      </c>
      <c r="H302" s="6">
        <v>1669.899231</v>
      </c>
      <c r="I302" s="6">
        <v>2.766923077</v>
      </c>
      <c r="J302" s="6" t="s">
        <v>16</v>
      </c>
    </row>
    <row r="303">
      <c r="A303" s="6" t="s">
        <v>38</v>
      </c>
      <c r="B303" s="6">
        <v>2001.0</v>
      </c>
      <c r="C303" s="6">
        <v>629.2133333</v>
      </c>
      <c r="D303" s="6">
        <v>211.155</v>
      </c>
      <c r="E303" s="6">
        <v>40.55583333</v>
      </c>
      <c r="F303" s="6">
        <v>27.5425</v>
      </c>
      <c r="G303" s="6">
        <v>29.05333333</v>
      </c>
      <c r="H303" s="6">
        <v>1379.665</v>
      </c>
      <c r="I303" s="6">
        <v>2.840833333</v>
      </c>
      <c r="J303" s="6" t="s">
        <v>16</v>
      </c>
    </row>
    <row r="304">
      <c r="A304" s="6" t="s">
        <v>38</v>
      </c>
      <c r="B304" s="6">
        <v>2002.0</v>
      </c>
      <c r="C304" s="6">
        <v>487.186</v>
      </c>
      <c r="D304" s="6">
        <v>212.329</v>
      </c>
      <c r="E304" s="6">
        <v>52.934</v>
      </c>
      <c r="F304" s="6">
        <v>31.605</v>
      </c>
      <c r="G304" s="6">
        <v>27.335</v>
      </c>
      <c r="H304" s="6">
        <v>1837.251</v>
      </c>
      <c r="I304" s="6">
        <v>2.786</v>
      </c>
      <c r="J304" s="6" t="s">
        <v>16</v>
      </c>
    </row>
    <row r="305">
      <c r="A305" s="6" t="s">
        <v>38</v>
      </c>
      <c r="B305" s="6">
        <v>2003.0</v>
      </c>
      <c r="C305" s="6">
        <v>562.341</v>
      </c>
      <c r="D305" s="6">
        <v>306.359</v>
      </c>
      <c r="E305" s="6">
        <v>55.887</v>
      </c>
      <c r="F305" s="6">
        <v>27.417</v>
      </c>
      <c r="G305" s="6">
        <v>26.935</v>
      </c>
      <c r="H305" s="6">
        <v>965.617</v>
      </c>
      <c r="I305" s="6">
        <v>3.486</v>
      </c>
      <c r="J305" s="6" t="s">
        <v>25</v>
      </c>
    </row>
    <row r="306">
      <c r="A306" s="6" t="s">
        <v>38</v>
      </c>
      <c r="B306" s="6">
        <v>2004.0</v>
      </c>
      <c r="C306" s="6">
        <v>555.15</v>
      </c>
      <c r="D306" s="6">
        <v>248.777</v>
      </c>
      <c r="E306" s="6">
        <v>52.229</v>
      </c>
      <c r="F306" s="6">
        <v>31.622</v>
      </c>
      <c r="G306" s="6">
        <v>23.127</v>
      </c>
      <c r="H306" s="6">
        <v>1389.694</v>
      </c>
      <c r="I306" s="6">
        <v>2.029</v>
      </c>
      <c r="J306" s="6" t="s">
        <v>16</v>
      </c>
    </row>
    <row r="307">
      <c r="A307" s="6" t="s">
        <v>38</v>
      </c>
      <c r="B307" s="6">
        <v>2005.0</v>
      </c>
      <c r="C307" s="6">
        <v>427.98375</v>
      </c>
      <c r="D307" s="6">
        <v>280.478125</v>
      </c>
      <c r="E307" s="6">
        <v>52.845625</v>
      </c>
      <c r="F307" s="6">
        <v>30.80375</v>
      </c>
      <c r="G307" s="6">
        <v>23.015625</v>
      </c>
      <c r="H307" s="6">
        <v>1423.414375</v>
      </c>
      <c r="I307" s="6">
        <v>3.308125</v>
      </c>
      <c r="J307" s="6" t="s">
        <v>16</v>
      </c>
    </row>
    <row r="308">
      <c r="A308" s="6" t="s">
        <v>38</v>
      </c>
      <c r="B308" s="6">
        <v>2006.0</v>
      </c>
      <c r="C308" s="6">
        <v>614.04</v>
      </c>
      <c r="D308" s="6">
        <v>254.8581818</v>
      </c>
      <c r="E308" s="6">
        <v>51.04909091</v>
      </c>
      <c r="F308" s="6">
        <v>20.9</v>
      </c>
      <c r="G308" s="6">
        <v>24.90727273</v>
      </c>
      <c r="H308" s="6">
        <v>1703.783636</v>
      </c>
      <c r="I308" s="6">
        <v>2.469090909</v>
      </c>
      <c r="J308" s="6" t="s">
        <v>16</v>
      </c>
    </row>
    <row r="309">
      <c r="A309" s="6" t="s">
        <v>38</v>
      </c>
      <c r="B309" s="6">
        <v>2007.0</v>
      </c>
      <c r="C309" s="6">
        <v>552.641</v>
      </c>
      <c r="D309" s="6">
        <v>246.248</v>
      </c>
      <c r="E309" s="6">
        <v>46.059</v>
      </c>
      <c r="F309" s="6">
        <v>38.757</v>
      </c>
      <c r="G309" s="6">
        <v>20.038</v>
      </c>
      <c r="H309" s="6">
        <v>1200.111</v>
      </c>
      <c r="I309" s="6">
        <v>2.541</v>
      </c>
      <c r="J309" s="6" t="s">
        <v>16</v>
      </c>
    </row>
    <row r="310">
      <c r="A310" s="6" t="s">
        <v>38</v>
      </c>
      <c r="B310" s="6">
        <v>2008.0</v>
      </c>
      <c r="C310" s="6">
        <v>608.3666667</v>
      </c>
      <c r="D310" s="6">
        <v>291.7611111</v>
      </c>
      <c r="E310" s="6">
        <v>47.81333333</v>
      </c>
      <c r="F310" s="6">
        <v>28.76777778</v>
      </c>
      <c r="G310" s="6">
        <v>21.51666667</v>
      </c>
      <c r="H310" s="6">
        <v>1761.913333</v>
      </c>
      <c r="I310" s="6">
        <v>1.946666667</v>
      </c>
      <c r="J310" s="6" t="s">
        <v>16</v>
      </c>
    </row>
    <row r="311">
      <c r="A311" s="6" t="s">
        <v>38</v>
      </c>
      <c r="B311" s="6">
        <v>2009.0</v>
      </c>
      <c r="C311" s="6">
        <v>472.67</v>
      </c>
      <c r="D311" s="6">
        <v>317.2316667</v>
      </c>
      <c r="E311" s="6">
        <v>51.1025</v>
      </c>
      <c r="F311" s="6">
        <v>23.60416667</v>
      </c>
      <c r="G311" s="6">
        <v>25.76166667</v>
      </c>
      <c r="H311" s="6">
        <v>1736.958333</v>
      </c>
      <c r="I311" s="6">
        <v>2.0225</v>
      </c>
      <c r="J311" s="6" t="s">
        <v>25</v>
      </c>
    </row>
    <row r="312">
      <c r="A312" s="6" t="s">
        <v>38</v>
      </c>
      <c r="B312" s="6">
        <v>2010.0</v>
      </c>
      <c r="C312" s="6">
        <v>375.48</v>
      </c>
      <c r="D312" s="6">
        <v>328.84</v>
      </c>
      <c r="E312" s="6">
        <v>51.6075</v>
      </c>
      <c r="F312" s="6">
        <v>34.1425</v>
      </c>
      <c r="G312" s="6">
        <v>23.8225</v>
      </c>
      <c r="H312" s="6">
        <v>1572.0225</v>
      </c>
      <c r="I312" s="6">
        <v>2.44</v>
      </c>
      <c r="J312" s="6" t="s">
        <v>25</v>
      </c>
    </row>
    <row r="313">
      <c r="A313" s="6" t="s">
        <v>38</v>
      </c>
      <c r="B313" s="6">
        <v>2011.0</v>
      </c>
      <c r="C313" s="6">
        <v>458.4714286</v>
      </c>
      <c r="D313" s="6">
        <v>250.6457143</v>
      </c>
      <c r="E313" s="6">
        <v>53.98928571</v>
      </c>
      <c r="F313" s="6">
        <v>25.90428571</v>
      </c>
      <c r="G313" s="6">
        <v>26.09642857</v>
      </c>
      <c r="H313" s="6">
        <v>1465.159286</v>
      </c>
      <c r="I313" s="6">
        <v>2.457142857</v>
      </c>
      <c r="J313" s="6" t="s">
        <v>16</v>
      </c>
    </row>
    <row r="314">
      <c r="A314" s="6" t="s">
        <v>38</v>
      </c>
      <c r="B314" s="6">
        <v>2012.0</v>
      </c>
      <c r="C314" s="6">
        <v>542.8113333</v>
      </c>
      <c r="D314" s="6">
        <v>261.0773333</v>
      </c>
      <c r="E314" s="6">
        <v>46.89866667</v>
      </c>
      <c r="F314" s="6">
        <v>28.52066667</v>
      </c>
      <c r="G314" s="6">
        <v>20.99266667</v>
      </c>
      <c r="H314" s="6">
        <v>1750.908667</v>
      </c>
      <c r="I314" s="6">
        <v>3.206666667</v>
      </c>
      <c r="J314" s="6" t="s">
        <v>16</v>
      </c>
    </row>
    <row r="315">
      <c r="A315" s="6" t="s">
        <v>38</v>
      </c>
      <c r="B315" s="6">
        <v>2013.0</v>
      </c>
      <c r="C315" s="6">
        <v>438.0286667</v>
      </c>
      <c r="D315" s="6">
        <v>255.2206667</v>
      </c>
      <c r="E315" s="6">
        <v>53.35666667</v>
      </c>
      <c r="F315" s="6">
        <v>29.82266667</v>
      </c>
      <c r="G315" s="6">
        <v>23.51133333</v>
      </c>
      <c r="H315" s="6">
        <v>1642.184667</v>
      </c>
      <c r="I315" s="6">
        <v>2.276</v>
      </c>
      <c r="J315" s="6" t="s">
        <v>16</v>
      </c>
    </row>
    <row r="316">
      <c r="A316" s="6" t="s">
        <v>38</v>
      </c>
      <c r="B316" s="6">
        <v>2014.0</v>
      </c>
      <c r="C316" s="6">
        <v>612.64</v>
      </c>
      <c r="D316" s="6">
        <v>245.6577778</v>
      </c>
      <c r="E316" s="6">
        <v>55.23777778</v>
      </c>
      <c r="F316" s="6">
        <v>26.67333333</v>
      </c>
      <c r="G316" s="6">
        <v>24.48666667</v>
      </c>
      <c r="H316" s="6">
        <v>1453.158889</v>
      </c>
      <c r="I316" s="6">
        <v>2.794444444</v>
      </c>
      <c r="J316" s="6" t="s">
        <v>16</v>
      </c>
    </row>
    <row r="317">
      <c r="A317" s="6" t="s">
        <v>38</v>
      </c>
      <c r="B317" s="6">
        <v>2015.0</v>
      </c>
      <c r="C317" s="6">
        <v>477.5316667</v>
      </c>
      <c r="D317" s="6">
        <v>305.255</v>
      </c>
      <c r="E317" s="6">
        <v>46.77166667</v>
      </c>
      <c r="F317" s="6">
        <v>22.68583333</v>
      </c>
      <c r="G317" s="6">
        <v>21.2675</v>
      </c>
      <c r="H317" s="6">
        <v>1548.805</v>
      </c>
      <c r="I317" s="6">
        <v>2.770833333</v>
      </c>
      <c r="J317" s="6" t="s">
        <v>25</v>
      </c>
    </row>
    <row r="318">
      <c r="A318" s="6" t="s">
        <v>38</v>
      </c>
      <c r="B318" s="6">
        <v>2016.0</v>
      </c>
      <c r="C318" s="6">
        <v>460.515</v>
      </c>
      <c r="D318" s="6">
        <v>307.769</v>
      </c>
      <c r="E318" s="6">
        <v>49.527</v>
      </c>
      <c r="F318" s="6">
        <v>31.481</v>
      </c>
      <c r="G318" s="6">
        <v>24.806</v>
      </c>
      <c r="H318" s="6">
        <v>1525.833</v>
      </c>
      <c r="I318" s="6">
        <v>1.859</v>
      </c>
      <c r="J318" s="6" t="s">
        <v>25</v>
      </c>
    </row>
    <row r="319">
      <c r="A319" s="6" t="s">
        <v>38</v>
      </c>
      <c r="B319" s="6">
        <v>2017.0</v>
      </c>
      <c r="C319" s="6">
        <v>382.3328571</v>
      </c>
      <c r="D319" s="6">
        <v>347.1657143</v>
      </c>
      <c r="E319" s="6">
        <v>52.41</v>
      </c>
      <c r="F319" s="6">
        <v>23.83571429</v>
      </c>
      <c r="G319" s="6">
        <v>23.54857143</v>
      </c>
      <c r="H319" s="6">
        <v>1864.07</v>
      </c>
      <c r="I319" s="6">
        <v>2.481428571</v>
      </c>
      <c r="J319" s="6" t="s">
        <v>25</v>
      </c>
    </row>
    <row r="320">
      <c r="A320" s="6" t="s">
        <v>38</v>
      </c>
      <c r="B320" s="6">
        <v>2018.0</v>
      </c>
      <c r="C320" s="6">
        <v>490.7214286</v>
      </c>
      <c r="D320" s="6">
        <v>330.8471429</v>
      </c>
      <c r="E320" s="6">
        <v>53.22714286</v>
      </c>
      <c r="F320" s="6">
        <v>28.17142857</v>
      </c>
      <c r="G320" s="6">
        <v>29.85142857</v>
      </c>
      <c r="H320" s="6">
        <v>2194.635714</v>
      </c>
      <c r="I320" s="6">
        <v>2.961428571</v>
      </c>
      <c r="J320" s="6" t="s">
        <v>25</v>
      </c>
    </row>
    <row r="321">
      <c r="A321" s="6" t="s">
        <v>38</v>
      </c>
      <c r="B321" s="6">
        <v>2019.0</v>
      </c>
      <c r="C321" s="6">
        <v>353.8</v>
      </c>
      <c r="D321" s="6">
        <v>265.855</v>
      </c>
      <c r="E321" s="6">
        <v>49.71625</v>
      </c>
      <c r="F321" s="6">
        <v>24.0775</v>
      </c>
      <c r="G321" s="6">
        <v>28.70875</v>
      </c>
      <c r="H321" s="6">
        <v>1312.15375</v>
      </c>
      <c r="I321" s="6">
        <v>2.9075</v>
      </c>
      <c r="J321" s="6" t="s">
        <v>16</v>
      </c>
    </row>
    <row r="322">
      <c r="A322" s="6" t="s">
        <v>38</v>
      </c>
      <c r="B322" s="6">
        <v>2020.0</v>
      </c>
      <c r="C322" s="6">
        <v>520.475</v>
      </c>
      <c r="D322" s="6">
        <v>327.94625</v>
      </c>
      <c r="E322" s="6">
        <v>43.65875</v>
      </c>
      <c r="F322" s="6">
        <v>25.90125</v>
      </c>
      <c r="G322" s="6">
        <v>24.055</v>
      </c>
      <c r="H322" s="6">
        <v>1030.5675</v>
      </c>
      <c r="I322" s="6">
        <v>1.93375</v>
      </c>
      <c r="J322" s="6" t="s">
        <v>25</v>
      </c>
    </row>
    <row r="323">
      <c r="A323" s="6" t="s">
        <v>38</v>
      </c>
      <c r="B323" s="6">
        <v>2021.0</v>
      </c>
      <c r="C323" s="6">
        <v>373.5907143</v>
      </c>
      <c r="D323" s="6">
        <v>277.0871429</v>
      </c>
      <c r="E323" s="6">
        <v>51.32142857</v>
      </c>
      <c r="F323" s="6">
        <v>21.30571429</v>
      </c>
      <c r="G323" s="6">
        <v>22.84571429</v>
      </c>
      <c r="H323" s="6">
        <v>1563.386429</v>
      </c>
      <c r="I323" s="6">
        <v>2.339285714</v>
      </c>
      <c r="J323" s="6" t="s">
        <v>16</v>
      </c>
    </row>
    <row r="324">
      <c r="A324" s="6" t="s">
        <v>38</v>
      </c>
      <c r="B324" s="6">
        <v>2022.0</v>
      </c>
      <c r="C324" s="6">
        <v>462.4533333</v>
      </c>
      <c r="D324" s="6">
        <v>286.8091667</v>
      </c>
      <c r="E324" s="6">
        <v>51.99083333</v>
      </c>
      <c r="F324" s="6">
        <v>28.89166667</v>
      </c>
      <c r="G324" s="6">
        <v>27.02166667</v>
      </c>
      <c r="H324" s="6">
        <v>1540.198333</v>
      </c>
      <c r="I324" s="6">
        <v>2.385833333</v>
      </c>
      <c r="J324" s="6" t="s">
        <v>16</v>
      </c>
    </row>
    <row r="325">
      <c r="A325" s="6" t="s">
        <v>38</v>
      </c>
      <c r="B325" s="6">
        <v>2023.0</v>
      </c>
      <c r="C325" s="6">
        <v>481.7191667</v>
      </c>
      <c r="D325" s="6">
        <v>240.7166667</v>
      </c>
      <c r="E325" s="6">
        <v>53.17666667</v>
      </c>
      <c r="F325" s="6">
        <v>31.79916667</v>
      </c>
      <c r="G325" s="6">
        <v>27.48333333</v>
      </c>
      <c r="H325" s="6">
        <v>1751.194167</v>
      </c>
      <c r="I325" s="6">
        <v>2.171666667</v>
      </c>
      <c r="J325" s="6" t="s">
        <v>16</v>
      </c>
    </row>
    <row r="326">
      <c r="A326" s="6" t="s">
        <v>38</v>
      </c>
      <c r="B326" s="6">
        <v>2024.0</v>
      </c>
      <c r="C326" s="6">
        <v>500.365</v>
      </c>
      <c r="D326" s="6">
        <v>357.7866667</v>
      </c>
      <c r="E326" s="6">
        <v>45.66833333</v>
      </c>
      <c r="F326" s="6">
        <v>23.17</v>
      </c>
      <c r="G326" s="6">
        <v>27.16833333</v>
      </c>
      <c r="H326" s="6">
        <v>1546.691667</v>
      </c>
      <c r="I326" s="6">
        <v>2.823333333</v>
      </c>
      <c r="J326" s="6" t="s">
        <v>25</v>
      </c>
    </row>
    <row r="327">
      <c r="A327" s="6" t="s">
        <v>39</v>
      </c>
      <c r="B327" s="6">
        <v>2000.0</v>
      </c>
      <c r="C327" s="6">
        <v>564.14</v>
      </c>
      <c r="D327" s="6">
        <v>316.525</v>
      </c>
      <c r="E327" s="6">
        <v>45.148</v>
      </c>
      <c r="F327" s="6">
        <v>31.04</v>
      </c>
      <c r="G327" s="6">
        <v>23.555</v>
      </c>
      <c r="H327" s="6">
        <v>1735.544</v>
      </c>
      <c r="I327" s="6">
        <v>2.209</v>
      </c>
      <c r="J327" s="6" t="s">
        <v>25</v>
      </c>
    </row>
    <row r="328">
      <c r="A328" s="6" t="s">
        <v>39</v>
      </c>
      <c r="B328" s="6">
        <v>2001.0</v>
      </c>
      <c r="C328" s="6">
        <v>513.409375</v>
      </c>
      <c r="D328" s="6">
        <v>234.5625</v>
      </c>
      <c r="E328" s="6">
        <v>59.37625</v>
      </c>
      <c r="F328" s="6">
        <v>23.448125</v>
      </c>
      <c r="G328" s="6">
        <v>25.263125</v>
      </c>
      <c r="H328" s="6">
        <v>1641.055625</v>
      </c>
      <c r="I328" s="6">
        <v>2.724375</v>
      </c>
      <c r="J328" s="6" t="s">
        <v>16</v>
      </c>
    </row>
    <row r="329">
      <c r="A329" s="6" t="s">
        <v>39</v>
      </c>
      <c r="B329" s="6">
        <v>2002.0</v>
      </c>
      <c r="C329" s="6">
        <v>417.751</v>
      </c>
      <c r="D329" s="6">
        <v>315.673</v>
      </c>
      <c r="E329" s="6">
        <v>42.218</v>
      </c>
      <c r="F329" s="6">
        <v>26.186</v>
      </c>
      <c r="G329" s="6">
        <v>26.175</v>
      </c>
      <c r="H329" s="6">
        <v>1503.223</v>
      </c>
      <c r="I329" s="6">
        <v>2.47</v>
      </c>
      <c r="J329" s="6" t="s">
        <v>25</v>
      </c>
    </row>
    <row r="330">
      <c r="A330" s="6" t="s">
        <v>39</v>
      </c>
      <c r="B330" s="6">
        <v>2003.0</v>
      </c>
      <c r="C330" s="6">
        <v>412.5475</v>
      </c>
      <c r="D330" s="6">
        <v>260.8633333</v>
      </c>
      <c r="E330" s="6">
        <v>40.40666667</v>
      </c>
      <c r="F330" s="6">
        <v>26.57583333</v>
      </c>
      <c r="G330" s="6">
        <v>21.375</v>
      </c>
      <c r="H330" s="6">
        <v>1544.343333</v>
      </c>
      <c r="I330" s="6">
        <v>2.3975</v>
      </c>
      <c r="J330" s="6" t="s">
        <v>16</v>
      </c>
    </row>
    <row r="331">
      <c r="A331" s="6" t="s">
        <v>39</v>
      </c>
      <c r="B331" s="6">
        <v>2004.0</v>
      </c>
      <c r="C331" s="6">
        <v>581.548</v>
      </c>
      <c r="D331" s="6">
        <v>300.099</v>
      </c>
      <c r="E331" s="6">
        <v>46.061</v>
      </c>
      <c r="F331" s="6">
        <v>23.321</v>
      </c>
      <c r="G331" s="6">
        <v>22.638</v>
      </c>
      <c r="H331" s="6">
        <v>1542.596</v>
      </c>
      <c r="I331" s="6">
        <v>2.057</v>
      </c>
      <c r="J331" s="6" t="s">
        <v>25</v>
      </c>
    </row>
    <row r="332">
      <c r="A332" s="6" t="s">
        <v>39</v>
      </c>
      <c r="B332" s="6">
        <v>2005.0</v>
      </c>
      <c r="C332" s="6">
        <v>559.8663636</v>
      </c>
      <c r="D332" s="6">
        <v>175.6645455</v>
      </c>
      <c r="E332" s="6">
        <v>47.93</v>
      </c>
      <c r="F332" s="6">
        <v>26.77909091</v>
      </c>
      <c r="G332" s="6">
        <v>24.37636364</v>
      </c>
      <c r="H332" s="6">
        <v>1422.513636</v>
      </c>
      <c r="I332" s="6">
        <v>2.280909091</v>
      </c>
      <c r="J332" s="6" t="s">
        <v>28</v>
      </c>
    </row>
    <row r="333">
      <c r="A333" s="6" t="s">
        <v>39</v>
      </c>
      <c r="B333" s="6">
        <v>2006.0</v>
      </c>
      <c r="C333" s="6">
        <v>522.38</v>
      </c>
      <c r="D333" s="6">
        <v>241.566</v>
      </c>
      <c r="E333" s="6">
        <v>51.646</v>
      </c>
      <c r="F333" s="6">
        <v>33.82</v>
      </c>
      <c r="G333" s="6">
        <v>25.278</v>
      </c>
      <c r="H333" s="6">
        <v>1475.928</v>
      </c>
      <c r="I333" s="6">
        <v>3.706</v>
      </c>
      <c r="J333" s="6" t="s">
        <v>16</v>
      </c>
    </row>
    <row r="334">
      <c r="A334" s="6" t="s">
        <v>39</v>
      </c>
      <c r="B334" s="6">
        <v>2007.0</v>
      </c>
      <c r="C334" s="6">
        <v>537.9625</v>
      </c>
      <c r="D334" s="6">
        <v>307.3</v>
      </c>
      <c r="E334" s="6">
        <v>51.48625</v>
      </c>
      <c r="F334" s="6">
        <v>24.24875</v>
      </c>
      <c r="G334" s="6">
        <v>26.18625</v>
      </c>
      <c r="H334" s="6">
        <v>1950.20625</v>
      </c>
      <c r="I334" s="6">
        <v>1.99875</v>
      </c>
      <c r="J334" s="6" t="s">
        <v>25</v>
      </c>
    </row>
    <row r="335">
      <c r="A335" s="6" t="s">
        <v>39</v>
      </c>
      <c r="B335" s="6">
        <v>2008.0</v>
      </c>
      <c r="C335" s="6">
        <v>583.41</v>
      </c>
      <c r="D335" s="6">
        <v>272.25</v>
      </c>
      <c r="E335" s="6">
        <v>52.61111111</v>
      </c>
      <c r="F335" s="6">
        <v>38.14444444</v>
      </c>
      <c r="G335" s="6">
        <v>27.69888889</v>
      </c>
      <c r="H335" s="6">
        <v>894.4111111</v>
      </c>
      <c r="I335" s="6">
        <v>2.155555556</v>
      </c>
      <c r="J335" s="6" t="s">
        <v>16</v>
      </c>
    </row>
    <row r="336">
      <c r="A336" s="6" t="s">
        <v>39</v>
      </c>
      <c r="B336" s="6">
        <v>2009.0</v>
      </c>
      <c r="C336" s="6">
        <v>551.8958333</v>
      </c>
      <c r="D336" s="6">
        <v>267.9566667</v>
      </c>
      <c r="E336" s="6">
        <v>45.89666667</v>
      </c>
      <c r="F336" s="6">
        <v>26.05</v>
      </c>
      <c r="G336" s="6">
        <v>29.8325</v>
      </c>
      <c r="H336" s="6">
        <v>987.2416667</v>
      </c>
      <c r="I336" s="6">
        <v>2.529166667</v>
      </c>
      <c r="J336" s="6" t="s">
        <v>16</v>
      </c>
    </row>
    <row r="337">
      <c r="A337" s="6" t="s">
        <v>39</v>
      </c>
      <c r="B337" s="6">
        <v>2010.0</v>
      </c>
      <c r="C337" s="6">
        <v>572.7577778</v>
      </c>
      <c r="D337" s="6">
        <v>320.6788889</v>
      </c>
      <c r="E337" s="6">
        <v>38.02333333</v>
      </c>
      <c r="F337" s="6">
        <v>22.85888889</v>
      </c>
      <c r="G337" s="6">
        <v>30.68888889</v>
      </c>
      <c r="H337" s="6">
        <v>1756.57</v>
      </c>
      <c r="I337" s="6">
        <v>2.748888889</v>
      </c>
      <c r="J337" s="6" t="s">
        <v>25</v>
      </c>
    </row>
    <row r="338">
      <c r="A338" s="6" t="s">
        <v>39</v>
      </c>
      <c r="B338" s="6">
        <v>2011.0</v>
      </c>
      <c r="C338" s="6">
        <v>504.4675</v>
      </c>
      <c r="D338" s="6">
        <v>318.685</v>
      </c>
      <c r="E338" s="6">
        <v>58.97083333</v>
      </c>
      <c r="F338" s="6">
        <v>28.35666667</v>
      </c>
      <c r="G338" s="6">
        <v>25.12166667</v>
      </c>
      <c r="H338" s="6">
        <v>1518.795</v>
      </c>
      <c r="I338" s="6">
        <v>1.96</v>
      </c>
      <c r="J338" s="6" t="s">
        <v>25</v>
      </c>
    </row>
    <row r="339">
      <c r="A339" s="6" t="s">
        <v>39</v>
      </c>
      <c r="B339" s="6">
        <v>2012.0</v>
      </c>
      <c r="C339" s="6">
        <v>584.7355556</v>
      </c>
      <c r="D339" s="6">
        <v>278.6394444</v>
      </c>
      <c r="E339" s="6">
        <v>50.53333333</v>
      </c>
      <c r="F339" s="6">
        <v>25.13722222</v>
      </c>
      <c r="G339" s="6">
        <v>19.87277778</v>
      </c>
      <c r="H339" s="6">
        <v>1455.939444</v>
      </c>
      <c r="I339" s="6">
        <v>2.708888889</v>
      </c>
      <c r="J339" s="6" t="s">
        <v>16</v>
      </c>
    </row>
    <row r="340">
      <c r="A340" s="6" t="s">
        <v>39</v>
      </c>
      <c r="B340" s="6">
        <v>2013.0</v>
      </c>
      <c r="C340" s="6">
        <v>434.90125</v>
      </c>
      <c r="D340" s="6">
        <v>238.0275</v>
      </c>
      <c r="E340" s="6">
        <v>49.47875</v>
      </c>
      <c r="F340" s="6">
        <v>22.29125</v>
      </c>
      <c r="G340" s="6">
        <v>25.55</v>
      </c>
      <c r="H340" s="6">
        <v>1062.07625</v>
      </c>
      <c r="I340" s="6">
        <v>2.60375</v>
      </c>
      <c r="J340" s="6" t="s">
        <v>16</v>
      </c>
    </row>
    <row r="341">
      <c r="A341" s="6" t="s">
        <v>39</v>
      </c>
      <c r="B341" s="6">
        <v>2014.0</v>
      </c>
      <c r="C341" s="6">
        <v>538.3664286</v>
      </c>
      <c r="D341" s="6">
        <v>286.4885714</v>
      </c>
      <c r="E341" s="6">
        <v>50.60357143</v>
      </c>
      <c r="F341" s="6">
        <v>33.44142857</v>
      </c>
      <c r="G341" s="6">
        <v>23.67714286</v>
      </c>
      <c r="H341" s="6">
        <v>1353.895</v>
      </c>
      <c r="I341" s="6">
        <v>2.182857143</v>
      </c>
      <c r="J341" s="6" t="s">
        <v>16</v>
      </c>
    </row>
    <row r="342">
      <c r="A342" s="6" t="s">
        <v>39</v>
      </c>
      <c r="B342" s="6">
        <v>2015.0</v>
      </c>
      <c r="C342" s="6">
        <v>566.239</v>
      </c>
      <c r="D342" s="6">
        <v>240.962</v>
      </c>
      <c r="E342" s="6">
        <v>41.718</v>
      </c>
      <c r="F342" s="6">
        <v>31.754</v>
      </c>
      <c r="G342" s="6">
        <v>26.024</v>
      </c>
      <c r="H342" s="6">
        <v>1287.384</v>
      </c>
      <c r="I342" s="6">
        <v>3.651</v>
      </c>
      <c r="J342" s="6" t="s">
        <v>16</v>
      </c>
    </row>
    <row r="343">
      <c r="A343" s="6" t="s">
        <v>39</v>
      </c>
      <c r="B343" s="6">
        <v>2016.0</v>
      </c>
      <c r="C343" s="6">
        <v>349.9291667</v>
      </c>
      <c r="D343" s="6">
        <v>197.7108333</v>
      </c>
      <c r="E343" s="6">
        <v>57.19916667</v>
      </c>
      <c r="F343" s="6">
        <v>22.4775</v>
      </c>
      <c r="G343" s="6">
        <v>25.87916667</v>
      </c>
      <c r="H343" s="6">
        <v>1478.1475</v>
      </c>
      <c r="I343" s="6">
        <v>2.190833333</v>
      </c>
      <c r="J343" s="6" t="s">
        <v>28</v>
      </c>
    </row>
    <row r="344">
      <c r="A344" s="6" t="s">
        <v>39</v>
      </c>
      <c r="B344" s="6">
        <v>2017.0</v>
      </c>
      <c r="C344" s="6">
        <v>616.3827273</v>
      </c>
      <c r="D344" s="6">
        <v>247.6345455</v>
      </c>
      <c r="E344" s="6">
        <v>55.80272727</v>
      </c>
      <c r="F344" s="6">
        <v>23.76090909</v>
      </c>
      <c r="G344" s="6">
        <v>29.71090909</v>
      </c>
      <c r="H344" s="6">
        <v>1288.09</v>
      </c>
      <c r="I344" s="6">
        <v>2.251818182</v>
      </c>
      <c r="J344" s="6" t="s">
        <v>16</v>
      </c>
    </row>
    <row r="345">
      <c r="A345" s="6" t="s">
        <v>39</v>
      </c>
      <c r="B345" s="6">
        <v>2018.0</v>
      </c>
      <c r="C345" s="6">
        <v>445.1072727</v>
      </c>
      <c r="D345" s="6">
        <v>311.1009091</v>
      </c>
      <c r="E345" s="6">
        <v>48.37090909</v>
      </c>
      <c r="F345" s="6">
        <v>23.51636364</v>
      </c>
      <c r="G345" s="6">
        <v>25.45909091</v>
      </c>
      <c r="H345" s="6">
        <v>1747.496364</v>
      </c>
      <c r="I345" s="6">
        <v>2.302727273</v>
      </c>
      <c r="J345" s="6" t="s">
        <v>25</v>
      </c>
    </row>
    <row r="346">
      <c r="A346" s="6" t="s">
        <v>39</v>
      </c>
      <c r="B346" s="6">
        <v>2019.0</v>
      </c>
      <c r="C346" s="6">
        <v>355.0575</v>
      </c>
      <c r="D346" s="6">
        <v>293.42375</v>
      </c>
      <c r="E346" s="6">
        <v>51.30875</v>
      </c>
      <c r="F346" s="6">
        <v>40.28125</v>
      </c>
      <c r="G346" s="6">
        <v>27.9975</v>
      </c>
      <c r="H346" s="6">
        <v>1502.6775</v>
      </c>
      <c r="I346" s="6">
        <v>3.0575</v>
      </c>
      <c r="J346" s="6" t="s">
        <v>16</v>
      </c>
    </row>
    <row r="347">
      <c r="A347" s="6" t="s">
        <v>39</v>
      </c>
      <c r="B347" s="6">
        <v>2020.0</v>
      </c>
      <c r="C347" s="6">
        <v>538.07</v>
      </c>
      <c r="D347" s="6">
        <v>297.0892308</v>
      </c>
      <c r="E347" s="6">
        <v>58.57923077</v>
      </c>
      <c r="F347" s="6">
        <v>22.94230769</v>
      </c>
      <c r="G347" s="6">
        <v>24.04153846</v>
      </c>
      <c r="H347" s="6">
        <v>1385.423846</v>
      </c>
      <c r="I347" s="6">
        <v>2.318461538</v>
      </c>
      <c r="J347" s="6" t="s">
        <v>16</v>
      </c>
    </row>
    <row r="348">
      <c r="A348" s="6" t="s">
        <v>39</v>
      </c>
      <c r="B348" s="6">
        <v>2021.0</v>
      </c>
      <c r="C348" s="6">
        <v>468.4475</v>
      </c>
      <c r="D348" s="6">
        <v>295.705625</v>
      </c>
      <c r="E348" s="6">
        <v>51.2825</v>
      </c>
      <c r="F348" s="6">
        <v>30.130625</v>
      </c>
      <c r="G348" s="6">
        <v>26.5775</v>
      </c>
      <c r="H348" s="6">
        <v>1269.851875</v>
      </c>
      <c r="I348" s="6">
        <v>2.53875</v>
      </c>
      <c r="J348" s="6" t="s">
        <v>16</v>
      </c>
    </row>
    <row r="349">
      <c r="A349" s="6" t="s">
        <v>39</v>
      </c>
      <c r="B349" s="6">
        <v>2022.0</v>
      </c>
      <c r="C349" s="6">
        <v>586.4778571</v>
      </c>
      <c r="D349" s="6">
        <v>278.3685714</v>
      </c>
      <c r="E349" s="6">
        <v>44.12714286</v>
      </c>
      <c r="F349" s="6">
        <v>27.60285714</v>
      </c>
      <c r="G349" s="6">
        <v>26.625</v>
      </c>
      <c r="H349" s="6">
        <v>1267.151429</v>
      </c>
      <c r="I349" s="6">
        <v>2.165714286</v>
      </c>
      <c r="J349" s="6" t="s">
        <v>16</v>
      </c>
    </row>
    <row r="350">
      <c r="A350" s="6" t="s">
        <v>39</v>
      </c>
      <c r="B350" s="6">
        <v>2023.0</v>
      </c>
      <c r="C350" s="6">
        <v>604.98</v>
      </c>
      <c r="D350" s="6">
        <v>268.15</v>
      </c>
      <c r="E350" s="6">
        <v>46.628</v>
      </c>
      <c r="F350" s="6">
        <v>34.144</v>
      </c>
      <c r="G350" s="6">
        <v>23.651</v>
      </c>
      <c r="H350" s="6">
        <v>1506.594</v>
      </c>
      <c r="I350" s="6">
        <v>2.485</v>
      </c>
      <c r="J350" s="6" t="s">
        <v>16</v>
      </c>
    </row>
    <row r="351">
      <c r="A351" s="6" t="s">
        <v>39</v>
      </c>
      <c r="B351" s="6">
        <v>2024.0</v>
      </c>
      <c r="C351" s="6">
        <v>555.2485714</v>
      </c>
      <c r="D351" s="6">
        <v>252.7157143</v>
      </c>
      <c r="E351" s="6">
        <v>39.88</v>
      </c>
      <c r="F351" s="6">
        <v>24.56142857</v>
      </c>
      <c r="G351" s="6">
        <v>29.47714286</v>
      </c>
      <c r="H351" s="6">
        <v>1532.972857</v>
      </c>
      <c r="I351" s="6">
        <v>2.875714286</v>
      </c>
      <c r="J351" s="6" t="s">
        <v>16</v>
      </c>
    </row>
    <row r="352">
      <c r="A352" s="6" t="s">
        <v>40</v>
      </c>
      <c r="B352" s="6">
        <v>2000.0</v>
      </c>
      <c r="C352" s="6">
        <v>564.89625</v>
      </c>
      <c r="D352" s="6">
        <v>222.86875</v>
      </c>
      <c r="E352" s="6">
        <v>59.77125</v>
      </c>
      <c r="F352" s="6">
        <v>28.7325</v>
      </c>
      <c r="G352" s="6">
        <v>24.2925</v>
      </c>
      <c r="H352" s="6">
        <v>1307.8325</v>
      </c>
      <c r="I352" s="6">
        <v>2.93875</v>
      </c>
      <c r="J352" s="6" t="s">
        <v>16</v>
      </c>
    </row>
    <row r="353">
      <c r="A353" s="6" t="s">
        <v>40</v>
      </c>
      <c r="B353" s="6">
        <v>2001.0</v>
      </c>
      <c r="C353" s="6">
        <v>483.8183333</v>
      </c>
      <c r="D353" s="6">
        <v>222.9291667</v>
      </c>
      <c r="E353" s="6">
        <v>55.9325</v>
      </c>
      <c r="F353" s="6">
        <v>24.05083333</v>
      </c>
      <c r="G353" s="6">
        <v>24.9725</v>
      </c>
      <c r="H353" s="6">
        <v>1399.233333</v>
      </c>
      <c r="I353" s="6">
        <v>2.1775</v>
      </c>
      <c r="J353" s="6" t="s">
        <v>16</v>
      </c>
    </row>
    <row r="354">
      <c r="A354" s="6" t="s">
        <v>40</v>
      </c>
      <c r="B354" s="6">
        <v>2002.0</v>
      </c>
      <c r="C354" s="6">
        <v>552.5666667</v>
      </c>
      <c r="D354" s="6">
        <v>346.8416667</v>
      </c>
      <c r="E354" s="6">
        <v>45.35916667</v>
      </c>
      <c r="F354" s="6">
        <v>33.62</v>
      </c>
      <c r="G354" s="6">
        <v>19.69166667</v>
      </c>
      <c r="H354" s="6">
        <v>1536.120833</v>
      </c>
      <c r="I354" s="6">
        <v>2.525</v>
      </c>
      <c r="J354" s="6" t="s">
        <v>25</v>
      </c>
    </row>
    <row r="355">
      <c r="A355" s="6" t="s">
        <v>40</v>
      </c>
      <c r="B355" s="6">
        <v>2003.0</v>
      </c>
      <c r="C355" s="6">
        <v>438.2535714</v>
      </c>
      <c r="D355" s="6">
        <v>303.6492857</v>
      </c>
      <c r="E355" s="6">
        <v>51.80285714</v>
      </c>
      <c r="F355" s="6">
        <v>26.57928571</v>
      </c>
      <c r="G355" s="6">
        <v>27.45</v>
      </c>
      <c r="H355" s="6">
        <v>1831.347143</v>
      </c>
      <c r="I355" s="6">
        <v>2.967142857</v>
      </c>
      <c r="J355" s="6" t="s">
        <v>25</v>
      </c>
    </row>
    <row r="356">
      <c r="A356" s="6" t="s">
        <v>40</v>
      </c>
      <c r="B356" s="6">
        <v>2004.0</v>
      </c>
      <c r="C356" s="6">
        <v>646.9521429</v>
      </c>
      <c r="D356" s="6">
        <v>326.5971429</v>
      </c>
      <c r="E356" s="6">
        <v>54.74285714</v>
      </c>
      <c r="F356" s="6">
        <v>23.07857143</v>
      </c>
      <c r="G356" s="6">
        <v>22.61785714</v>
      </c>
      <c r="H356" s="6">
        <v>1172.892143</v>
      </c>
      <c r="I356" s="6">
        <v>2.734285714</v>
      </c>
      <c r="J356" s="6" t="s">
        <v>25</v>
      </c>
    </row>
    <row r="357">
      <c r="A357" s="6" t="s">
        <v>40</v>
      </c>
      <c r="B357" s="6">
        <v>2005.0</v>
      </c>
      <c r="C357" s="6">
        <v>429.7353846</v>
      </c>
      <c r="D357" s="6">
        <v>253.5384615</v>
      </c>
      <c r="E357" s="6">
        <v>52.69076923</v>
      </c>
      <c r="F357" s="6">
        <v>26.68307692</v>
      </c>
      <c r="G357" s="6">
        <v>25.66</v>
      </c>
      <c r="H357" s="6">
        <v>1368.123846</v>
      </c>
      <c r="I357" s="6">
        <v>2.131538462</v>
      </c>
      <c r="J357" s="6" t="s">
        <v>16</v>
      </c>
    </row>
    <row r="358">
      <c r="A358" s="6" t="s">
        <v>40</v>
      </c>
      <c r="B358" s="6">
        <v>2006.0</v>
      </c>
      <c r="C358" s="6">
        <v>448.46625</v>
      </c>
      <c r="D358" s="6">
        <v>300.90625</v>
      </c>
      <c r="E358" s="6">
        <v>54.63875</v>
      </c>
      <c r="F358" s="6">
        <v>24.47625</v>
      </c>
      <c r="G358" s="6">
        <v>28.56</v>
      </c>
      <c r="H358" s="6">
        <v>1211.6925</v>
      </c>
      <c r="I358" s="6">
        <v>2.165</v>
      </c>
      <c r="J358" s="6" t="s">
        <v>25</v>
      </c>
    </row>
    <row r="359">
      <c r="A359" s="6" t="s">
        <v>40</v>
      </c>
      <c r="B359" s="6">
        <v>2007.0</v>
      </c>
      <c r="C359" s="6">
        <v>502.8681818</v>
      </c>
      <c r="D359" s="6">
        <v>216.2763636</v>
      </c>
      <c r="E359" s="6">
        <v>56.73272727</v>
      </c>
      <c r="F359" s="6">
        <v>26.29181818</v>
      </c>
      <c r="G359" s="6">
        <v>23.29</v>
      </c>
      <c r="H359" s="6">
        <v>1805.447273</v>
      </c>
      <c r="I359" s="6">
        <v>2.516363636</v>
      </c>
      <c r="J359" s="6" t="s">
        <v>16</v>
      </c>
    </row>
    <row r="360">
      <c r="A360" s="6" t="s">
        <v>40</v>
      </c>
      <c r="B360" s="6">
        <v>2008.0</v>
      </c>
      <c r="C360" s="6">
        <v>620.5025</v>
      </c>
      <c r="D360" s="6">
        <v>270.22875</v>
      </c>
      <c r="E360" s="6">
        <v>49.76625</v>
      </c>
      <c r="F360" s="6">
        <v>27.30625</v>
      </c>
      <c r="G360" s="6">
        <v>26.83375</v>
      </c>
      <c r="H360" s="6">
        <v>1197.59625</v>
      </c>
      <c r="I360" s="6">
        <v>2.8375</v>
      </c>
      <c r="J360" s="6" t="s">
        <v>16</v>
      </c>
    </row>
    <row r="361">
      <c r="A361" s="6" t="s">
        <v>40</v>
      </c>
      <c r="B361" s="6">
        <v>2009.0</v>
      </c>
      <c r="C361" s="6">
        <v>420.5491667</v>
      </c>
      <c r="D361" s="6">
        <v>255.0675</v>
      </c>
      <c r="E361" s="6">
        <v>43.34833333</v>
      </c>
      <c r="F361" s="6">
        <v>37.56166667</v>
      </c>
      <c r="G361" s="6">
        <v>22.66166667</v>
      </c>
      <c r="H361" s="6">
        <v>1195.989167</v>
      </c>
      <c r="I361" s="6">
        <v>2.870833333</v>
      </c>
      <c r="J361" s="6" t="s">
        <v>16</v>
      </c>
    </row>
    <row r="362">
      <c r="A362" s="6" t="s">
        <v>40</v>
      </c>
      <c r="B362" s="6">
        <v>2010.0</v>
      </c>
      <c r="C362" s="6">
        <v>488.0433333</v>
      </c>
      <c r="D362" s="6">
        <v>242.8533333</v>
      </c>
      <c r="E362" s="6">
        <v>51.50888889</v>
      </c>
      <c r="F362" s="6">
        <v>31.59666667</v>
      </c>
      <c r="G362" s="6">
        <v>26.26444444</v>
      </c>
      <c r="H362" s="6">
        <v>1576.416667</v>
      </c>
      <c r="I362" s="6">
        <v>2.123333333</v>
      </c>
      <c r="J362" s="6" t="s">
        <v>16</v>
      </c>
    </row>
    <row r="363">
      <c r="A363" s="6" t="s">
        <v>40</v>
      </c>
      <c r="B363" s="6">
        <v>2011.0</v>
      </c>
      <c r="C363" s="6">
        <v>372.46125</v>
      </c>
      <c r="D363" s="6">
        <v>274.66375</v>
      </c>
      <c r="E363" s="6">
        <v>41.35125</v>
      </c>
      <c r="F363" s="6">
        <v>29.61</v>
      </c>
      <c r="G363" s="6">
        <v>29.3425</v>
      </c>
      <c r="H363" s="6">
        <v>1562.10625</v>
      </c>
      <c r="I363" s="6">
        <v>1.3</v>
      </c>
      <c r="J363" s="6" t="s">
        <v>16</v>
      </c>
    </row>
    <row r="364">
      <c r="A364" s="6" t="s">
        <v>40</v>
      </c>
      <c r="B364" s="6">
        <v>2012.0</v>
      </c>
      <c r="C364" s="6">
        <v>427.9308333</v>
      </c>
      <c r="D364" s="6">
        <v>246.64</v>
      </c>
      <c r="E364" s="6">
        <v>54.65916667</v>
      </c>
      <c r="F364" s="6">
        <v>30.53416667</v>
      </c>
      <c r="G364" s="6">
        <v>23.32916667</v>
      </c>
      <c r="H364" s="6">
        <v>1819.49</v>
      </c>
      <c r="I364" s="6">
        <v>2.869166667</v>
      </c>
      <c r="J364" s="6" t="s">
        <v>16</v>
      </c>
    </row>
    <row r="365">
      <c r="A365" s="6" t="s">
        <v>40</v>
      </c>
      <c r="B365" s="6">
        <v>2013.0</v>
      </c>
      <c r="C365" s="6">
        <v>661.917</v>
      </c>
      <c r="D365" s="6">
        <v>259.638</v>
      </c>
      <c r="E365" s="6">
        <v>60.728</v>
      </c>
      <c r="F365" s="6">
        <v>31.781</v>
      </c>
      <c r="G365" s="6">
        <v>23.328</v>
      </c>
      <c r="H365" s="6">
        <v>1845.411</v>
      </c>
      <c r="I365" s="6">
        <v>2.256</v>
      </c>
      <c r="J365" s="6" t="s">
        <v>16</v>
      </c>
    </row>
    <row r="366">
      <c r="A366" s="6" t="s">
        <v>40</v>
      </c>
      <c r="B366" s="6">
        <v>2014.0</v>
      </c>
      <c r="C366" s="6">
        <v>514.5023077</v>
      </c>
      <c r="D366" s="6">
        <v>269.4923077</v>
      </c>
      <c r="E366" s="6">
        <v>49.32384615</v>
      </c>
      <c r="F366" s="6">
        <v>34.04076923</v>
      </c>
      <c r="G366" s="6">
        <v>28.53846154</v>
      </c>
      <c r="H366" s="6">
        <v>1781.412308</v>
      </c>
      <c r="I366" s="6">
        <v>2.616153846</v>
      </c>
      <c r="J366" s="6" t="s">
        <v>16</v>
      </c>
    </row>
    <row r="367">
      <c r="A367" s="6" t="s">
        <v>40</v>
      </c>
      <c r="B367" s="6">
        <v>2015.0</v>
      </c>
      <c r="C367" s="6">
        <v>524.78</v>
      </c>
      <c r="D367" s="6">
        <v>268.3257143</v>
      </c>
      <c r="E367" s="6">
        <v>56.29</v>
      </c>
      <c r="F367" s="6">
        <v>33.03428571</v>
      </c>
      <c r="G367" s="6">
        <v>17.94714286</v>
      </c>
      <c r="H367" s="6">
        <v>1429.378571</v>
      </c>
      <c r="I367" s="6">
        <v>3.175714286</v>
      </c>
      <c r="J367" s="6" t="s">
        <v>16</v>
      </c>
    </row>
    <row r="368">
      <c r="A368" s="6" t="s">
        <v>40</v>
      </c>
      <c r="B368" s="6">
        <v>2016.0</v>
      </c>
      <c r="C368" s="6">
        <v>557.4922222</v>
      </c>
      <c r="D368" s="6">
        <v>276.4855556</v>
      </c>
      <c r="E368" s="6">
        <v>51.85111111</v>
      </c>
      <c r="F368" s="6">
        <v>28.98</v>
      </c>
      <c r="G368" s="6">
        <v>27.72111111</v>
      </c>
      <c r="H368" s="6">
        <v>1439.022222</v>
      </c>
      <c r="I368" s="6">
        <v>2.603333333</v>
      </c>
      <c r="J368" s="6" t="s">
        <v>16</v>
      </c>
    </row>
    <row r="369">
      <c r="A369" s="6" t="s">
        <v>40</v>
      </c>
      <c r="B369" s="6">
        <v>2017.0</v>
      </c>
      <c r="C369" s="6">
        <v>565.166</v>
      </c>
      <c r="D369" s="6">
        <v>271.1633333</v>
      </c>
      <c r="E369" s="6">
        <v>45.33133333</v>
      </c>
      <c r="F369" s="6">
        <v>27.15266667</v>
      </c>
      <c r="G369" s="6">
        <v>24.33666667</v>
      </c>
      <c r="H369" s="6">
        <v>1106.37</v>
      </c>
      <c r="I369" s="6">
        <v>2.795333333</v>
      </c>
      <c r="J369" s="6" t="s">
        <v>16</v>
      </c>
    </row>
    <row r="370">
      <c r="A370" s="6" t="s">
        <v>40</v>
      </c>
      <c r="B370" s="6">
        <v>2018.0</v>
      </c>
      <c r="C370" s="6">
        <v>545.2209091</v>
      </c>
      <c r="D370" s="6">
        <v>302.4</v>
      </c>
      <c r="E370" s="6">
        <v>42.97272727</v>
      </c>
      <c r="F370" s="6">
        <v>26.96272727</v>
      </c>
      <c r="G370" s="6">
        <v>20.84</v>
      </c>
      <c r="H370" s="6">
        <v>1396.296364</v>
      </c>
      <c r="I370" s="6">
        <v>2.872727273</v>
      </c>
      <c r="J370" s="6" t="s">
        <v>25</v>
      </c>
    </row>
    <row r="371">
      <c r="A371" s="6" t="s">
        <v>40</v>
      </c>
      <c r="B371" s="6">
        <v>2019.0</v>
      </c>
      <c r="C371" s="6">
        <v>413.9891667</v>
      </c>
      <c r="D371" s="6">
        <v>277.0641667</v>
      </c>
      <c r="E371" s="6">
        <v>47.6025</v>
      </c>
      <c r="F371" s="6">
        <v>24.87416667</v>
      </c>
      <c r="G371" s="6">
        <v>25.8675</v>
      </c>
      <c r="H371" s="6">
        <v>1802.118333</v>
      </c>
      <c r="I371" s="6">
        <v>2.76</v>
      </c>
      <c r="J371" s="6" t="s">
        <v>16</v>
      </c>
    </row>
    <row r="372">
      <c r="A372" s="6" t="s">
        <v>40</v>
      </c>
      <c r="B372" s="6">
        <v>2020.0</v>
      </c>
      <c r="C372" s="6">
        <v>467.1546154</v>
      </c>
      <c r="D372" s="6">
        <v>296.5569231</v>
      </c>
      <c r="E372" s="6">
        <v>39.69</v>
      </c>
      <c r="F372" s="6">
        <v>30.16769231</v>
      </c>
      <c r="G372" s="6">
        <v>28.40153846</v>
      </c>
      <c r="H372" s="6">
        <v>1696.116154</v>
      </c>
      <c r="I372" s="6">
        <v>2.214615385</v>
      </c>
      <c r="J372" s="6" t="s">
        <v>16</v>
      </c>
    </row>
    <row r="373">
      <c r="A373" s="6" t="s">
        <v>40</v>
      </c>
      <c r="B373" s="6">
        <v>2021.0</v>
      </c>
      <c r="C373" s="6">
        <v>406.2183333</v>
      </c>
      <c r="D373" s="6">
        <v>281.5475</v>
      </c>
      <c r="E373" s="6">
        <v>46.12083333</v>
      </c>
      <c r="F373" s="6">
        <v>27.27</v>
      </c>
      <c r="G373" s="6">
        <v>26.88833333</v>
      </c>
      <c r="H373" s="6">
        <v>1598.958333</v>
      </c>
      <c r="I373" s="6">
        <v>2.69</v>
      </c>
      <c r="J373" s="6" t="s">
        <v>16</v>
      </c>
    </row>
    <row r="374">
      <c r="A374" s="6" t="s">
        <v>40</v>
      </c>
      <c r="B374" s="6">
        <v>2022.0</v>
      </c>
      <c r="C374" s="6">
        <v>442.7411111</v>
      </c>
      <c r="D374" s="6">
        <v>268.5388889</v>
      </c>
      <c r="E374" s="6">
        <v>46.31222222</v>
      </c>
      <c r="F374" s="6">
        <v>20.35555556</v>
      </c>
      <c r="G374" s="6">
        <v>25.66555556</v>
      </c>
      <c r="H374" s="6">
        <v>1790.444444</v>
      </c>
      <c r="I374" s="6">
        <v>2.933333333</v>
      </c>
      <c r="J374" s="6" t="s">
        <v>16</v>
      </c>
    </row>
    <row r="375">
      <c r="A375" s="6" t="s">
        <v>40</v>
      </c>
      <c r="B375" s="6">
        <v>2023.0</v>
      </c>
      <c r="C375" s="6">
        <v>538.969</v>
      </c>
      <c r="D375" s="6">
        <v>326.672</v>
      </c>
      <c r="E375" s="6">
        <v>50.207</v>
      </c>
      <c r="F375" s="6">
        <v>34.791</v>
      </c>
      <c r="G375" s="6">
        <v>19.434</v>
      </c>
      <c r="H375" s="6">
        <v>1243.572</v>
      </c>
      <c r="I375" s="6">
        <v>2.006</v>
      </c>
      <c r="J375" s="6" t="s">
        <v>25</v>
      </c>
    </row>
    <row r="376">
      <c r="A376" s="6" t="s">
        <v>40</v>
      </c>
      <c r="B376" s="6">
        <v>2024.0</v>
      </c>
      <c r="C376" s="6">
        <v>509.7363636</v>
      </c>
      <c r="D376" s="6">
        <v>274.9863636</v>
      </c>
      <c r="E376" s="6">
        <v>58.00909091</v>
      </c>
      <c r="F376" s="6">
        <v>27.64636364</v>
      </c>
      <c r="G376" s="6">
        <v>23.33454545</v>
      </c>
      <c r="H376" s="6">
        <v>1101.151818</v>
      </c>
      <c r="I376" s="6">
        <v>2.624545455</v>
      </c>
      <c r="J376" s="6" t="s">
        <v>16</v>
      </c>
    </row>
    <row r="377">
      <c r="A377" s="6" t="s">
        <v>41</v>
      </c>
      <c r="B377" s="6">
        <v>2000.0</v>
      </c>
      <c r="C377" s="6">
        <v>447.87625</v>
      </c>
      <c r="D377" s="6">
        <v>271.56625</v>
      </c>
      <c r="E377" s="6">
        <v>50.31125</v>
      </c>
      <c r="F377" s="6">
        <v>28.5325</v>
      </c>
      <c r="G377" s="6">
        <v>21.63375</v>
      </c>
      <c r="H377" s="6">
        <v>1867.5875</v>
      </c>
      <c r="I377" s="6">
        <v>2.53875</v>
      </c>
      <c r="J377" s="6" t="s">
        <v>16</v>
      </c>
    </row>
    <row r="378">
      <c r="A378" s="6" t="s">
        <v>41</v>
      </c>
      <c r="B378" s="6">
        <v>2001.0</v>
      </c>
      <c r="C378" s="6">
        <v>377.975</v>
      </c>
      <c r="D378" s="6">
        <v>285.6383333</v>
      </c>
      <c r="E378" s="6">
        <v>57.63833333</v>
      </c>
      <c r="F378" s="6">
        <v>29.36</v>
      </c>
      <c r="G378" s="6">
        <v>32.66</v>
      </c>
      <c r="H378" s="6">
        <v>1303.765</v>
      </c>
      <c r="I378" s="6">
        <v>3.048333333</v>
      </c>
      <c r="J378" s="6" t="s">
        <v>16</v>
      </c>
    </row>
    <row r="379">
      <c r="A379" s="6" t="s">
        <v>41</v>
      </c>
      <c r="B379" s="6">
        <v>2002.0</v>
      </c>
      <c r="C379" s="6">
        <v>489.724375</v>
      </c>
      <c r="D379" s="6">
        <v>254.403125</v>
      </c>
      <c r="E379" s="6">
        <v>51.04375</v>
      </c>
      <c r="F379" s="6">
        <v>22.389375</v>
      </c>
      <c r="G379" s="6">
        <v>25.184375</v>
      </c>
      <c r="H379" s="6">
        <v>1301.13125</v>
      </c>
      <c r="I379" s="6">
        <v>1.9525</v>
      </c>
      <c r="J379" s="6" t="s">
        <v>16</v>
      </c>
    </row>
    <row r="380">
      <c r="A380" s="6" t="s">
        <v>41</v>
      </c>
      <c r="B380" s="6">
        <v>2003.0</v>
      </c>
      <c r="C380" s="6">
        <v>615.355</v>
      </c>
      <c r="D380" s="6">
        <v>266.09</v>
      </c>
      <c r="E380" s="6">
        <v>47.99875</v>
      </c>
      <c r="F380" s="6">
        <v>26.0825</v>
      </c>
      <c r="G380" s="6">
        <v>18.51</v>
      </c>
      <c r="H380" s="6">
        <v>1228.69375</v>
      </c>
      <c r="I380" s="6">
        <v>2.7175</v>
      </c>
      <c r="J380" s="6" t="s">
        <v>16</v>
      </c>
    </row>
    <row r="381">
      <c r="A381" s="6" t="s">
        <v>41</v>
      </c>
      <c r="B381" s="6">
        <v>2004.0</v>
      </c>
      <c r="C381" s="6">
        <v>515.9523077</v>
      </c>
      <c r="D381" s="6">
        <v>313.8392308</v>
      </c>
      <c r="E381" s="6">
        <v>48.87923077</v>
      </c>
      <c r="F381" s="6">
        <v>25.21153846</v>
      </c>
      <c r="G381" s="6">
        <v>25.64615385</v>
      </c>
      <c r="H381" s="6">
        <v>1530.723077</v>
      </c>
      <c r="I381" s="6">
        <v>3.377692308</v>
      </c>
      <c r="J381" s="6" t="s">
        <v>25</v>
      </c>
    </row>
    <row r="382">
      <c r="A382" s="6" t="s">
        <v>41</v>
      </c>
      <c r="B382" s="6">
        <v>2005.0</v>
      </c>
      <c r="C382" s="6">
        <v>508.275</v>
      </c>
      <c r="D382" s="6">
        <v>230.87875</v>
      </c>
      <c r="E382" s="6">
        <v>41.505</v>
      </c>
      <c r="F382" s="6">
        <v>30.0675</v>
      </c>
      <c r="G382" s="6">
        <v>24.47875</v>
      </c>
      <c r="H382" s="6">
        <v>1712.5775</v>
      </c>
      <c r="I382" s="6">
        <v>3.17625</v>
      </c>
      <c r="J382" s="6" t="s">
        <v>16</v>
      </c>
    </row>
    <row r="383">
      <c r="A383" s="6" t="s">
        <v>41</v>
      </c>
      <c r="B383" s="6">
        <v>2006.0</v>
      </c>
      <c r="C383" s="6">
        <v>445.814</v>
      </c>
      <c r="D383" s="6">
        <v>276.184</v>
      </c>
      <c r="E383" s="6">
        <v>51.576</v>
      </c>
      <c r="F383" s="6">
        <v>23.241</v>
      </c>
      <c r="G383" s="6">
        <v>27.735</v>
      </c>
      <c r="H383" s="6">
        <v>1364.556</v>
      </c>
      <c r="I383" s="6">
        <v>2.39</v>
      </c>
      <c r="J383" s="6" t="s">
        <v>16</v>
      </c>
    </row>
    <row r="384">
      <c r="A384" s="6" t="s">
        <v>41</v>
      </c>
      <c r="B384" s="6">
        <v>2007.0</v>
      </c>
      <c r="C384" s="6">
        <v>494.9927273</v>
      </c>
      <c r="D384" s="6">
        <v>271.0418182</v>
      </c>
      <c r="E384" s="6">
        <v>53.44818182</v>
      </c>
      <c r="F384" s="6">
        <v>27.14909091</v>
      </c>
      <c r="G384" s="6">
        <v>25.5</v>
      </c>
      <c r="H384" s="6">
        <v>1545.437273</v>
      </c>
      <c r="I384" s="6">
        <v>2.439090909</v>
      </c>
      <c r="J384" s="6" t="s">
        <v>16</v>
      </c>
    </row>
    <row r="385">
      <c r="A385" s="6" t="s">
        <v>41</v>
      </c>
      <c r="B385" s="6">
        <v>2008.0</v>
      </c>
      <c r="C385" s="6">
        <v>509.604</v>
      </c>
      <c r="D385" s="6">
        <v>276.073</v>
      </c>
      <c r="E385" s="6">
        <v>55.399</v>
      </c>
      <c r="F385" s="6">
        <v>28.229</v>
      </c>
      <c r="G385" s="6">
        <v>23.547</v>
      </c>
      <c r="H385" s="6">
        <v>1334.906</v>
      </c>
      <c r="I385" s="6">
        <v>2.643</v>
      </c>
      <c r="J385" s="6" t="s">
        <v>16</v>
      </c>
    </row>
    <row r="386">
      <c r="A386" s="6" t="s">
        <v>41</v>
      </c>
      <c r="B386" s="6">
        <v>2009.0</v>
      </c>
      <c r="C386" s="6">
        <v>437.711</v>
      </c>
      <c r="D386" s="6">
        <v>281.476</v>
      </c>
      <c r="E386" s="6">
        <v>53.947</v>
      </c>
      <c r="F386" s="6">
        <v>31.331</v>
      </c>
      <c r="G386" s="6">
        <v>26.484</v>
      </c>
      <c r="H386" s="6">
        <v>1042.238</v>
      </c>
      <c r="I386" s="6">
        <v>1.718</v>
      </c>
      <c r="J386" s="6" t="s">
        <v>16</v>
      </c>
    </row>
    <row r="387">
      <c r="A387" s="6" t="s">
        <v>41</v>
      </c>
      <c r="B387" s="6">
        <v>2010.0</v>
      </c>
      <c r="C387" s="6">
        <v>605.089</v>
      </c>
      <c r="D387" s="6">
        <v>231.141</v>
      </c>
      <c r="E387" s="6">
        <v>51.018</v>
      </c>
      <c r="F387" s="6">
        <v>25.201</v>
      </c>
      <c r="G387" s="6">
        <v>21.259</v>
      </c>
      <c r="H387" s="6">
        <v>1282.538</v>
      </c>
      <c r="I387" s="6">
        <v>2.503</v>
      </c>
      <c r="J387" s="6" t="s">
        <v>16</v>
      </c>
    </row>
    <row r="388">
      <c r="A388" s="6" t="s">
        <v>41</v>
      </c>
      <c r="B388" s="6">
        <v>2011.0</v>
      </c>
      <c r="C388" s="6">
        <v>397.736</v>
      </c>
      <c r="D388" s="6">
        <v>299.139</v>
      </c>
      <c r="E388" s="6">
        <v>44.632</v>
      </c>
      <c r="F388" s="6">
        <v>22.05</v>
      </c>
      <c r="G388" s="6">
        <v>20.249</v>
      </c>
      <c r="H388" s="6">
        <v>1682.943</v>
      </c>
      <c r="I388" s="6">
        <v>2.658</v>
      </c>
      <c r="J388" s="6" t="s">
        <v>16</v>
      </c>
    </row>
    <row r="389">
      <c r="A389" s="6" t="s">
        <v>41</v>
      </c>
      <c r="B389" s="6">
        <v>2012.0</v>
      </c>
      <c r="C389" s="6">
        <v>563.1541667</v>
      </c>
      <c r="D389" s="6">
        <v>276.3675</v>
      </c>
      <c r="E389" s="6">
        <v>46.965</v>
      </c>
      <c r="F389" s="6">
        <v>27.2075</v>
      </c>
      <c r="G389" s="6">
        <v>28.70333333</v>
      </c>
      <c r="H389" s="6">
        <v>1405.616667</v>
      </c>
      <c r="I389" s="6">
        <v>2.353333333</v>
      </c>
      <c r="J389" s="6" t="s">
        <v>16</v>
      </c>
    </row>
    <row r="390">
      <c r="A390" s="6" t="s">
        <v>41</v>
      </c>
      <c r="B390" s="6">
        <v>2013.0</v>
      </c>
      <c r="C390" s="6">
        <v>477.4833333</v>
      </c>
      <c r="D390" s="6">
        <v>279.4833333</v>
      </c>
      <c r="E390" s="6">
        <v>49.165</v>
      </c>
      <c r="F390" s="6">
        <v>27.12666667</v>
      </c>
      <c r="G390" s="6">
        <v>25.85333333</v>
      </c>
      <c r="H390" s="6">
        <v>1768.771667</v>
      </c>
      <c r="I390" s="6">
        <v>2.446666667</v>
      </c>
      <c r="J390" s="6" t="s">
        <v>16</v>
      </c>
    </row>
    <row r="391">
      <c r="A391" s="6" t="s">
        <v>41</v>
      </c>
      <c r="B391" s="6">
        <v>2014.0</v>
      </c>
      <c r="C391" s="6">
        <v>502.602</v>
      </c>
      <c r="D391" s="6">
        <v>278.1866667</v>
      </c>
      <c r="E391" s="6">
        <v>43.182</v>
      </c>
      <c r="F391" s="6">
        <v>22.04933333</v>
      </c>
      <c r="G391" s="6">
        <v>26.644</v>
      </c>
      <c r="H391" s="6">
        <v>1642.040667</v>
      </c>
      <c r="I391" s="6">
        <v>2.618666667</v>
      </c>
      <c r="J391" s="6" t="s">
        <v>16</v>
      </c>
    </row>
    <row r="392">
      <c r="A392" s="6" t="s">
        <v>41</v>
      </c>
      <c r="B392" s="6">
        <v>2015.0</v>
      </c>
      <c r="C392" s="6">
        <v>283.8375</v>
      </c>
      <c r="D392" s="6">
        <v>313.855</v>
      </c>
      <c r="E392" s="6">
        <v>51.96</v>
      </c>
      <c r="F392" s="6">
        <v>23.1075</v>
      </c>
      <c r="G392" s="6">
        <v>25.3075</v>
      </c>
      <c r="H392" s="6">
        <v>1203.24</v>
      </c>
      <c r="I392" s="6">
        <v>2.995</v>
      </c>
      <c r="J392" s="6" t="s">
        <v>25</v>
      </c>
    </row>
    <row r="393">
      <c r="A393" s="6" t="s">
        <v>41</v>
      </c>
      <c r="B393" s="6">
        <v>2016.0</v>
      </c>
      <c r="C393" s="6">
        <v>469.8236364</v>
      </c>
      <c r="D393" s="6">
        <v>262.6663636</v>
      </c>
      <c r="E393" s="6">
        <v>59.67090909</v>
      </c>
      <c r="F393" s="6">
        <v>25.90545455</v>
      </c>
      <c r="G393" s="6">
        <v>28.73272727</v>
      </c>
      <c r="H393" s="6">
        <v>1444.103636</v>
      </c>
      <c r="I393" s="6">
        <v>1.889090909</v>
      </c>
      <c r="J393" s="6" t="s">
        <v>16</v>
      </c>
    </row>
    <row r="394">
      <c r="A394" s="6" t="s">
        <v>41</v>
      </c>
      <c r="B394" s="6">
        <v>2017.0</v>
      </c>
      <c r="C394" s="6">
        <v>485.455</v>
      </c>
      <c r="D394" s="6">
        <v>360.4583333</v>
      </c>
      <c r="E394" s="6">
        <v>54.31</v>
      </c>
      <c r="F394" s="6">
        <v>18.845</v>
      </c>
      <c r="G394" s="6">
        <v>19.0</v>
      </c>
      <c r="H394" s="6">
        <v>2071.396667</v>
      </c>
      <c r="I394" s="6">
        <v>2.231666667</v>
      </c>
      <c r="J394" s="6" t="s">
        <v>25</v>
      </c>
    </row>
    <row r="395">
      <c r="A395" s="6" t="s">
        <v>41</v>
      </c>
      <c r="B395" s="6">
        <v>2018.0</v>
      </c>
      <c r="C395" s="6">
        <v>446.3971429</v>
      </c>
      <c r="D395" s="6">
        <v>268.315</v>
      </c>
      <c r="E395" s="6">
        <v>47.94642857</v>
      </c>
      <c r="F395" s="6">
        <v>24.365</v>
      </c>
      <c r="G395" s="6">
        <v>23.69357143</v>
      </c>
      <c r="H395" s="6">
        <v>1402.076429</v>
      </c>
      <c r="I395" s="6">
        <v>2.462857143</v>
      </c>
      <c r="J395" s="6" t="s">
        <v>16</v>
      </c>
    </row>
    <row r="396">
      <c r="A396" s="6" t="s">
        <v>41</v>
      </c>
      <c r="B396" s="6">
        <v>2019.0</v>
      </c>
      <c r="C396" s="6">
        <v>600.34375</v>
      </c>
      <c r="D396" s="6">
        <v>275.17125</v>
      </c>
      <c r="E396" s="6">
        <v>46.56375</v>
      </c>
      <c r="F396" s="6">
        <v>17.73125</v>
      </c>
      <c r="G396" s="6">
        <v>21.60125</v>
      </c>
      <c r="H396" s="6">
        <v>1257.9625</v>
      </c>
      <c r="I396" s="6">
        <v>3.30125</v>
      </c>
      <c r="J396" s="6" t="s">
        <v>16</v>
      </c>
    </row>
    <row r="397">
      <c r="A397" s="6" t="s">
        <v>41</v>
      </c>
      <c r="B397" s="6">
        <v>2020.0</v>
      </c>
      <c r="C397" s="6">
        <v>625.29875</v>
      </c>
      <c r="D397" s="6">
        <v>298.00125</v>
      </c>
      <c r="E397" s="6">
        <v>42.5325</v>
      </c>
      <c r="F397" s="6">
        <v>22.57125</v>
      </c>
      <c r="G397" s="6">
        <v>26.3875</v>
      </c>
      <c r="H397" s="6">
        <v>1509.50625</v>
      </c>
      <c r="I397" s="6">
        <v>2.20625</v>
      </c>
      <c r="J397" s="6" t="s">
        <v>16</v>
      </c>
    </row>
    <row r="398">
      <c r="A398" s="6" t="s">
        <v>41</v>
      </c>
      <c r="B398" s="6">
        <v>2021.0</v>
      </c>
      <c r="C398" s="6">
        <v>444.8046667</v>
      </c>
      <c r="D398" s="6">
        <v>218.1326667</v>
      </c>
      <c r="E398" s="6">
        <v>53.15466667</v>
      </c>
      <c r="F398" s="6">
        <v>25.09266667</v>
      </c>
      <c r="G398" s="6">
        <v>21.27266667</v>
      </c>
      <c r="H398" s="6">
        <v>1574.864</v>
      </c>
      <c r="I398" s="6">
        <v>3.334</v>
      </c>
      <c r="J398" s="6" t="s">
        <v>16</v>
      </c>
    </row>
    <row r="399">
      <c r="A399" s="6" t="s">
        <v>41</v>
      </c>
      <c r="B399" s="6">
        <v>2022.0</v>
      </c>
      <c r="C399" s="6">
        <v>583.542</v>
      </c>
      <c r="D399" s="6">
        <v>273.862</v>
      </c>
      <c r="E399" s="6">
        <v>51.014</v>
      </c>
      <c r="F399" s="6">
        <v>18.78</v>
      </c>
      <c r="G399" s="6">
        <v>26.412</v>
      </c>
      <c r="H399" s="6">
        <v>1080.514</v>
      </c>
      <c r="I399" s="6">
        <v>2.768</v>
      </c>
      <c r="J399" s="6" t="s">
        <v>16</v>
      </c>
    </row>
    <row r="400">
      <c r="A400" s="6" t="s">
        <v>41</v>
      </c>
      <c r="B400" s="6">
        <v>2023.0</v>
      </c>
      <c r="C400" s="6">
        <v>295.234</v>
      </c>
      <c r="D400" s="6">
        <v>284.19</v>
      </c>
      <c r="E400" s="6">
        <v>54.844</v>
      </c>
      <c r="F400" s="6">
        <v>18.288</v>
      </c>
      <c r="G400" s="6">
        <v>26.738</v>
      </c>
      <c r="H400" s="6">
        <v>1389.482</v>
      </c>
      <c r="I400" s="6">
        <v>2.456</v>
      </c>
      <c r="J400" s="6" t="s">
        <v>16</v>
      </c>
    </row>
    <row r="401">
      <c r="A401" s="6" t="s">
        <v>41</v>
      </c>
      <c r="B401" s="6">
        <v>2024.0</v>
      </c>
      <c r="C401" s="6">
        <v>560.786875</v>
      </c>
      <c r="D401" s="6">
        <v>286.490625</v>
      </c>
      <c r="E401" s="6">
        <v>53.23125</v>
      </c>
      <c r="F401" s="6">
        <v>29.17625</v>
      </c>
      <c r="G401" s="6">
        <v>27.636875</v>
      </c>
      <c r="H401" s="6">
        <v>1174.268125</v>
      </c>
      <c r="I401" s="6">
        <v>1.951875</v>
      </c>
      <c r="J401" s="6" t="s">
        <v>16</v>
      </c>
    </row>
    <row r="402">
      <c r="A402" s="6" t="s">
        <v>44</v>
      </c>
      <c r="B402" s="6">
        <v>2000.0</v>
      </c>
      <c r="C402" s="6">
        <v>529.145</v>
      </c>
      <c r="D402" s="6">
        <v>279.5625</v>
      </c>
      <c r="E402" s="6">
        <v>56.79666667</v>
      </c>
      <c r="F402" s="6">
        <v>24.39083333</v>
      </c>
      <c r="G402" s="6">
        <v>20.54916667</v>
      </c>
      <c r="H402" s="6">
        <v>1787.784167</v>
      </c>
      <c r="I402" s="6">
        <v>3.799166667</v>
      </c>
      <c r="J402" s="6" t="s">
        <v>16</v>
      </c>
    </row>
    <row r="403">
      <c r="A403" s="6" t="s">
        <v>44</v>
      </c>
      <c r="B403" s="6">
        <v>2001.0</v>
      </c>
      <c r="C403" s="6">
        <v>364.055</v>
      </c>
      <c r="D403" s="6">
        <v>283.69</v>
      </c>
      <c r="E403" s="6">
        <v>43.61</v>
      </c>
      <c r="F403" s="6">
        <v>28.25</v>
      </c>
      <c r="G403" s="6">
        <v>33.595</v>
      </c>
      <c r="H403" s="6">
        <v>2280.9</v>
      </c>
      <c r="I403" s="6">
        <v>2.145</v>
      </c>
      <c r="J403" s="6" t="s">
        <v>16</v>
      </c>
    </row>
    <row r="404">
      <c r="A404" s="6" t="s">
        <v>44</v>
      </c>
      <c r="B404" s="6">
        <v>2002.0</v>
      </c>
      <c r="C404" s="6">
        <v>456.5171429</v>
      </c>
      <c r="D404" s="6">
        <v>261.0685714</v>
      </c>
      <c r="E404" s="6">
        <v>49.28428571</v>
      </c>
      <c r="F404" s="6">
        <v>26.34571429</v>
      </c>
      <c r="G404" s="6">
        <v>29.23571429</v>
      </c>
      <c r="H404" s="6">
        <v>2238.761429</v>
      </c>
      <c r="I404" s="6">
        <v>1.991428571</v>
      </c>
      <c r="J404" s="6" t="s">
        <v>16</v>
      </c>
    </row>
    <row r="405">
      <c r="A405" s="6" t="s">
        <v>44</v>
      </c>
      <c r="B405" s="6">
        <v>2003.0</v>
      </c>
      <c r="C405" s="6">
        <v>563.675</v>
      </c>
      <c r="D405" s="6">
        <v>304.28625</v>
      </c>
      <c r="E405" s="6">
        <v>48.2075</v>
      </c>
      <c r="F405" s="6">
        <v>25.1475</v>
      </c>
      <c r="G405" s="6">
        <v>28.15375</v>
      </c>
      <c r="H405" s="6">
        <v>1316.04875</v>
      </c>
      <c r="I405" s="6">
        <v>3.16625</v>
      </c>
      <c r="J405" s="6" t="s">
        <v>25</v>
      </c>
    </row>
    <row r="406">
      <c r="A406" s="6" t="s">
        <v>44</v>
      </c>
      <c r="B406" s="6">
        <v>2004.0</v>
      </c>
      <c r="C406" s="6">
        <v>636.2816667</v>
      </c>
      <c r="D406" s="6">
        <v>282.6116667</v>
      </c>
      <c r="E406" s="6">
        <v>41.66833333</v>
      </c>
      <c r="F406" s="6">
        <v>25.62666667</v>
      </c>
      <c r="G406" s="6">
        <v>27.36166667</v>
      </c>
      <c r="H406" s="6">
        <v>1342.11</v>
      </c>
      <c r="I406" s="6">
        <v>2.21</v>
      </c>
      <c r="J406" s="6" t="s">
        <v>16</v>
      </c>
    </row>
    <row r="407">
      <c r="A407" s="6" t="s">
        <v>44</v>
      </c>
      <c r="B407" s="6">
        <v>2005.0</v>
      </c>
      <c r="C407" s="6">
        <v>425.267</v>
      </c>
      <c r="D407" s="6">
        <v>309.966</v>
      </c>
      <c r="E407" s="6">
        <v>53.8</v>
      </c>
      <c r="F407" s="6">
        <v>27.783</v>
      </c>
      <c r="G407" s="6">
        <v>24.804</v>
      </c>
      <c r="H407" s="6">
        <v>1442.327</v>
      </c>
      <c r="I407" s="6">
        <v>1.945</v>
      </c>
      <c r="J407" s="6" t="s">
        <v>25</v>
      </c>
    </row>
    <row r="408">
      <c r="A408" s="6" t="s">
        <v>44</v>
      </c>
      <c r="B408" s="6">
        <v>2006.0</v>
      </c>
      <c r="C408" s="6">
        <v>585.9822222</v>
      </c>
      <c r="D408" s="6">
        <v>178.1466667</v>
      </c>
      <c r="E408" s="6">
        <v>48.90777778</v>
      </c>
      <c r="F408" s="6">
        <v>23.86888889</v>
      </c>
      <c r="G408" s="6">
        <v>22.94444444</v>
      </c>
      <c r="H408" s="6">
        <v>1753.675556</v>
      </c>
      <c r="I408" s="6">
        <v>3.061111111</v>
      </c>
      <c r="J408" s="6" t="s">
        <v>28</v>
      </c>
    </row>
    <row r="409">
      <c r="A409" s="6" t="s">
        <v>44</v>
      </c>
      <c r="B409" s="6">
        <v>2007.0</v>
      </c>
      <c r="C409" s="6">
        <v>446.908125</v>
      </c>
      <c r="D409" s="6">
        <v>233.550625</v>
      </c>
      <c r="E409" s="6">
        <v>47.08125</v>
      </c>
      <c r="F409" s="6">
        <v>27.878125</v>
      </c>
      <c r="G409" s="6">
        <v>26.625</v>
      </c>
      <c r="H409" s="6">
        <v>1427.354375</v>
      </c>
      <c r="I409" s="6">
        <v>2.585</v>
      </c>
      <c r="J409" s="6" t="s">
        <v>16</v>
      </c>
    </row>
    <row r="410">
      <c r="A410" s="6" t="s">
        <v>44</v>
      </c>
      <c r="B410" s="6">
        <v>2008.0</v>
      </c>
      <c r="C410" s="6">
        <v>621.0841667</v>
      </c>
      <c r="D410" s="6">
        <v>272.0383333</v>
      </c>
      <c r="E410" s="6">
        <v>58.8</v>
      </c>
      <c r="F410" s="6">
        <v>21.7775</v>
      </c>
      <c r="G410" s="6">
        <v>29.81333333</v>
      </c>
      <c r="H410" s="6">
        <v>1418.294167</v>
      </c>
      <c r="I410" s="6">
        <v>2.769166667</v>
      </c>
      <c r="J410" s="6" t="s">
        <v>16</v>
      </c>
    </row>
    <row r="411">
      <c r="A411" s="6" t="s">
        <v>44</v>
      </c>
      <c r="B411" s="6">
        <v>2009.0</v>
      </c>
      <c r="C411" s="6">
        <v>448.882</v>
      </c>
      <c r="D411" s="6">
        <v>271.046</v>
      </c>
      <c r="E411" s="6">
        <v>47.598</v>
      </c>
      <c r="F411" s="6">
        <v>31.636</v>
      </c>
      <c r="G411" s="6">
        <v>23.797</v>
      </c>
      <c r="H411" s="6">
        <v>2202.622</v>
      </c>
      <c r="I411" s="6">
        <v>3.278</v>
      </c>
      <c r="J411" s="6" t="s">
        <v>16</v>
      </c>
    </row>
    <row r="412">
      <c r="A412" s="6" t="s">
        <v>44</v>
      </c>
      <c r="B412" s="6">
        <v>2010.0</v>
      </c>
      <c r="C412" s="6">
        <v>298.6333333</v>
      </c>
      <c r="D412" s="6">
        <v>266.3722222</v>
      </c>
      <c r="E412" s="6">
        <v>45.82555556</v>
      </c>
      <c r="F412" s="6">
        <v>18.01</v>
      </c>
      <c r="G412" s="6">
        <v>25.22444444</v>
      </c>
      <c r="H412" s="6">
        <v>1427.834444</v>
      </c>
      <c r="I412" s="6">
        <v>2.175555556</v>
      </c>
      <c r="J412" s="6" t="s">
        <v>16</v>
      </c>
    </row>
    <row r="413">
      <c r="A413" s="6" t="s">
        <v>44</v>
      </c>
      <c r="B413" s="6">
        <v>2011.0</v>
      </c>
      <c r="C413" s="6">
        <v>436.98</v>
      </c>
      <c r="D413" s="6">
        <v>270.69</v>
      </c>
      <c r="E413" s="6">
        <v>56.84909091</v>
      </c>
      <c r="F413" s="6">
        <v>25.43909091</v>
      </c>
      <c r="G413" s="6">
        <v>24.02636364</v>
      </c>
      <c r="H413" s="6">
        <v>1765.976364</v>
      </c>
      <c r="I413" s="6">
        <v>2.990909091</v>
      </c>
      <c r="J413" s="6" t="s">
        <v>16</v>
      </c>
    </row>
    <row r="414">
      <c r="A414" s="6" t="s">
        <v>44</v>
      </c>
      <c r="B414" s="6">
        <v>2012.0</v>
      </c>
      <c r="C414" s="6">
        <v>434.72</v>
      </c>
      <c r="D414" s="6">
        <v>284.7633333</v>
      </c>
      <c r="E414" s="6">
        <v>47.39444444</v>
      </c>
      <c r="F414" s="6">
        <v>26.12333333</v>
      </c>
      <c r="G414" s="6">
        <v>23.73555556</v>
      </c>
      <c r="H414" s="6">
        <v>1320.36</v>
      </c>
      <c r="I414" s="6">
        <v>3.351111111</v>
      </c>
      <c r="J414" s="6" t="s">
        <v>16</v>
      </c>
    </row>
    <row r="415">
      <c r="A415" s="6" t="s">
        <v>44</v>
      </c>
      <c r="B415" s="6">
        <v>2013.0</v>
      </c>
      <c r="C415" s="6">
        <v>456.134</v>
      </c>
      <c r="D415" s="6">
        <v>275.082</v>
      </c>
      <c r="E415" s="6">
        <v>54.408</v>
      </c>
      <c r="F415" s="6">
        <v>38.93</v>
      </c>
      <c r="G415" s="6">
        <v>25.206</v>
      </c>
      <c r="H415" s="6">
        <v>1576.642</v>
      </c>
      <c r="I415" s="6">
        <v>2.416</v>
      </c>
      <c r="J415" s="6" t="s">
        <v>16</v>
      </c>
    </row>
    <row r="416">
      <c r="A416" s="6" t="s">
        <v>44</v>
      </c>
      <c r="B416" s="6">
        <v>2014.0</v>
      </c>
      <c r="C416" s="6">
        <v>387.3223077</v>
      </c>
      <c r="D416" s="6">
        <v>299.06</v>
      </c>
      <c r="E416" s="6">
        <v>47.85846154</v>
      </c>
      <c r="F416" s="6">
        <v>29.88769231</v>
      </c>
      <c r="G416" s="6">
        <v>27.81461538</v>
      </c>
      <c r="H416" s="6">
        <v>1360.435385</v>
      </c>
      <c r="I416" s="6">
        <v>3.163846154</v>
      </c>
      <c r="J416" s="6" t="s">
        <v>16</v>
      </c>
    </row>
    <row r="417">
      <c r="A417" s="6" t="s">
        <v>44</v>
      </c>
      <c r="B417" s="6">
        <v>2015.0</v>
      </c>
      <c r="C417" s="6">
        <v>395.4144444</v>
      </c>
      <c r="D417" s="6">
        <v>311.2866667</v>
      </c>
      <c r="E417" s="6">
        <v>53.37777778</v>
      </c>
      <c r="F417" s="6">
        <v>34.61222222</v>
      </c>
      <c r="G417" s="6">
        <v>25.69666667</v>
      </c>
      <c r="H417" s="6">
        <v>1353.253333</v>
      </c>
      <c r="I417" s="6">
        <v>2.32</v>
      </c>
      <c r="J417" s="6" t="s">
        <v>25</v>
      </c>
    </row>
    <row r="418">
      <c r="A418" s="6" t="s">
        <v>44</v>
      </c>
      <c r="B418" s="6">
        <v>2016.0</v>
      </c>
      <c r="C418" s="6">
        <v>408.96</v>
      </c>
      <c r="D418" s="6">
        <v>329.2477778</v>
      </c>
      <c r="E418" s="6">
        <v>58.02333333</v>
      </c>
      <c r="F418" s="6">
        <v>36.02</v>
      </c>
      <c r="G418" s="6">
        <v>20.82222222</v>
      </c>
      <c r="H418" s="6">
        <v>1788.255556</v>
      </c>
      <c r="I418" s="6">
        <v>2.21</v>
      </c>
      <c r="J418" s="6" t="s">
        <v>25</v>
      </c>
    </row>
    <row r="419">
      <c r="A419" s="6" t="s">
        <v>44</v>
      </c>
      <c r="B419" s="6">
        <v>2017.0</v>
      </c>
      <c r="C419" s="6">
        <v>441.78125</v>
      </c>
      <c r="D419" s="6">
        <v>311.8475</v>
      </c>
      <c r="E419" s="6">
        <v>47.8925</v>
      </c>
      <c r="F419" s="6">
        <v>23.11125</v>
      </c>
      <c r="G419" s="6">
        <v>25.135</v>
      </c>
      <c r="H419" s="6">
        <v>1330.23125</v>
      </c>
      <c r="I419" s="6">
        <v>2.79875</v>
      </c>
      <c r="J419" s="6" t="s">
        <v>25</v>
      </c>
    </row>
    <row r="420">
      <c r="A420" s="6" t="s">
        <v>44</v>
      </c>
      <c r="B420" s="6">
        <v>2018.0</v>
      </c>
      <c r="C420" s="6">
        <v>554.5890909</v>
      </c>
      <c r="D420" s="6">
        <v>249.5854545</v>
      </c>
      <c r="E420" s="6">
        <v>44.53727273</v>
      </c>
      <c r="F420" s="6">
        <v>30.84818182</v>
      </c>
      <c r="G420" s="6">
        <v>24.40727273</v>
      </c>
      <c r="H420" s="6">
        <v>1757.610909</v>
      </c>
      <c r="I420" s="6">
        <v>2.732727273</v>
      </c>
      <c r="J420" s="6" t="s">
        <v>16</v>
      </c>
    </row>
    <row r="421">
      <c r="A421" s="6" t="s">
        <v>44</v>
      </c>
      <c r="B421" s="6">
        <v>2019.0</v>
      </c>
      <c r="C421" s="6">
        <v>567.2763636</v>
      </c>
      <c r="D421" s="6">
        <v>256.2218182</v>
      </c>
      <c r="E421" s="6">
        <v>47.78727273</v>
      </c>
      <c r="F421" s="6">
        <v>26.05181818</v>
      </c>
      <c r="G421" s="6">
        <v>27.46</v>
      </c>
      <c r="H421" s="6">
        <v>1469.868182</v>
      </c>
      <c r="I421" s="6">
        <v>2.956363636</v>
      </c>
      <c r="J421" s="6" t="s">
        <v>16</v>
      </c>
    </row>
    <row r="422">
      <c r="A422" s="6" t="s">
        <v>44</v>
      </c>
      <c r="B422" s="6">
        <v>2020.0</v>
      </c>
      <c r="C422" s="6">
        <v>475.7216667</v>
      </c>
      <c r="D422" s="6">
        <v>238.9544444</v>
      </c>
      <c r="E422" s="6">
        <v>47.09777778</v>
      </c>
      <c r="F422" s="6">
        <v>27.45166667</v>
      </c>
      <c r="G422" s="6">
        <v>21.72777778</v>
      </c>
      <c r="H422" s="6">
        <v>1705.807778</v>
      </c>
      <c r="I422" s="6">
        <v>2.676666667</v>
      </c>
      <c r="J422" s="6" t="s">
        <v>16</v>
      </c>
    </row>
    <row r="423">
      <c r="A423" s="6" t="s">
        <v>44</v>
      </c>
      <c r="B423" s="6">
        <v>2021.0</v>
      </c>
      <c r="C423" s="6">
        <v>469.4184615</v>
      </c>
      <c r="D423" s="6">
        <v>279.9030769</v>
      </c>
      <c r="E423" s="6">
        <v>42.83538462</v>
      </c>
      <c r="F423" s="6">
        <v>29.27153846</v>
      </c>
      <c r="G423" s="6">
        <v>21.32153846</v>
      </c>
      <c r="H423" s="6">
        <v>1415.024615</v>
      </c>
      <c r="I423" s="6">
        <v>2.681538462</v>
      </c>
      <c r="J423" s="6" t="s">
        <v>16</v>
      </c>
    </row>
    <row r="424">
      <c r="A424" s="6" t="s">
        <v>44</v>
      </c>
      <c r="B424" s="6">
        <v>2022.0</v>
      </c>
      <c r="C424" s="6">
        <v>433.9583333</v>
      </c>
      <c r="D424" s="6">
        <v>186.265</v>
      </c>
      <c r="E424" s="6">
        <v>56.17</v>
      </c>
      <c r="F424" s="6">
        <v>31.57333333</v>
      </c>
      <c r="G424" s="6">
        <v>21.72333333</v>
      </c>
      <c r="H424" s="6">
        <v>2106.236667</v>
      </c>
      <c r="I424" s="6">
        <v>2.091666667</v>
      </c>
      <c r="J424" s="6" t="s">
        <v>28</v>
      </c>
    </row>
    <row r="425">
      <c r="A425" s="6" t="s">
        <v>44</v>
      </c>
      <c r="B425" s="6">
        <v>2023.0</v>
      </c>
      <c r="C425" s="6">
        <v>410.89</v>
      </c>
      <c r="D425" s="6">
        <v>292.092</v>
      </c>
      <c r="E425" s="6">
        <v>51.87</v>
      </c>
      <c r="F425" s="6">
        <v>23.788</v>
      </c>
      <c r="G425" s="6">
        <v>21.102</v>
      </c>
      <c r="H425" s="6">
        <v>1839.922</v>
      </c>
      <c r="I425" s="6">
        <v>2.43</v>
      </c>
      <c r="J425" s="6" t="s">
        <v>16</v>
      </c>
    </row>
    <row r="426">
      <c r="A426" s="6" t="s">
        <v>44</v>
      </c>
      <c r="B426" s="6">
        <v>2024.0</v>
      </c>
      <c r="C426" s="6">
        <v>546.9825</v>
      </c>
      <c r="D426" s="6">
        <v>278.7425</v>
      </c>
      <c r="E426" s="6">
        <v>51.05583333</v>
      </c>
      <c r="F426" s="6">
        <v>30.80333333</v>
      </c>
      <c r="G426" s="6">
        <v>25.2</v>
      </c>
      <c r="H426" s="6">
        <v>1833.629167</v>
      </c>
      <c r="I426" s="6">
        <v>2.22</v>
      </c>
      <c r="J426" s="6" t="s">
        <v>16</v>
      </c>
    </row>
    <row r="427">
      <c r="A427" s="6" t="s">
        <v>45</v>
      </c>
      <c r="B427" s="6">
        <v>2000.0</v>
      </c>
      <c r="C427" s="6">
        <v>621.2653846</v>
      </c>
      <c r="D427" s="6">
        <v>273.5707692</v>
      </c>
      <c r="E427" s="6">
        <v>54.79307692</v>
      </c>
      <c r="F427" s="6">
        <v>31.21692308</v>
      </c>
      <c r="G427" s="6">
        <v>24.73307692</v>
      </c>
      <c r="H427" s="6">
        <v>1604.933846</v>
      </c>
      <c r="I427" s="6">
        <v>2.746153846</v>
      </c>
      <c r="J427" s="6" t="s">
        <v>16</v>
      </c>
    </row>
    <row r="428">
      <c r="A428" s="6" t="s">
        <v>45</v>
      </c>
      <c r="B428" s="6">
        <v>2001.0</v>
      </c>
      <c r="C428" s="6">
        <v>372.417</v>
      </c>
      <c r="D428" s="6">
        <v>280.582</v>
      </c>
      <c r="E428" s="6">
        <v>53.551</v>
      </c>
      <c r="F428" s="6">
        <v>27.592</v>
      </c>
      <c r="G428" s="6">
        <v>24.749</v>
      </c>
      <c r="H428" s="6">
        <v>1160.829</v>
      </c>
      <c r="I428" s="6">
        <v>2.492</v>
      </c>
      <c r="J428" s="6" t="s">
        <v>16</v>
      </c>
    </row>
    <row r="429">
      <c r="A429" s="6" t="s">
        <v>45</v>
      </c>
      <c r="B429" s="6">
        <v>2002.0</v>
      </c>
      <c r="C429" s="6">
        <v>364.6341667</v>
      </c>
      <c r="D429" s="6">
        <v>309.015</v>
      </c>
      <c r="E429" s="6">
        <v>48.64666667</v>
      </c>
      <c r="F429" s="6">
        <v>25.89583333</v>
      </c>
      <c r="G429" s="6">
        <v>27.43333333</v>
      </c>
      <c r="H429" s="6">
        <v>1767.645</v>
      </c>
      <c r="I429" s="6">
        <v>2.891666667</v>
      </c>
      <c r="J429" s="6" t="s">
        <v>25</v>
      </c>
    </row>
    <row r="430">
      <c r="A430" s="6" t="s">
        <v>45</v>
      </c>
      <c r="B430" s="6">
        <v>2003.0</v>
      </c>
      <c r="C430" s="6">
        <v>326.1133333</v>
      </c>
      <c r="D430" s="6">
        <v>205.1316667</v>
      </c>
      <c r="E430" s="6">
        <v>53.73833333</v>
      </c>
      <c r="F430" s="6">
        <v>35.61833333</v>
      </c>
      <c r="G430" s="6">
        <v>23.81666667</v>
      </c>
      <c r="H430" s="6">
        <v>1366.376667</v>
      </c>
      <c r="I430" s="6">
        <v>1.875</v>
      </c>
      <c r="J430" s="6" t="s">
        <v>16</v>
      </c>
    </row>
    <row r="431">
      <c r="A431" s="6" t="s">
        <v>45</v>
      </c>
      <c r="B431" s="6">
        <v>2004.0</v>
      </c>
      <c r="C431" s="6">
        <v>580.2007143</v>
      </c>
      <c r="D431" s="6">
        <v>318.9828571</v>
      </c>
      <c r="E431" s="6">
        <v>43.93</v>
      </c>
      <c r="F431" s="6">
        <v>28.56</v>
      </c>
      <c r="G431" s="6">
        <v>23.22357143</v>
      </c>
      <c r="H431" s="6">
        <v>1647.287143</v>
      </c>
      <c r="I431" s="6">
        <v>3.05</v>
      </c>
      <c r="J431" s="6" t="s">
        <v>25</v>
      </c>
    </row>
    <row r="432">
      <c r="A432" s="6" t="s">
        <v>45</v>
      </c>
      <c r="B432" s="6">
        <v>2005.0</v>
      </c>
      <c r="C432" s="6">
        <v>250.2157143</v>
      </c>
      <c r="D432" s="6">
        <v>218.2342857</v>
      </c>
      <c r="E432" s="6">
        <v>44.67428571</v>
      </c>
      <c r="F432" s="6">
        <v>31.26571429</v>
      </c>
      <c r="G432" s="6">
        <v>23.63428571</v>
      </c>
      <c r="H432" s="6">
        <v>1805.707143</v>
      </c>
      <c r="I432" s="6">
        <v>1.734285714</v>
      </c>
      <c r="J432" s="6" t="s">
        <v>16</v>
      </c>
    </row>
    <row r="433">
      <c r="A433" s="6" t="s">
        <v>45</v>
      </c>
      <c r="B433" s="6">
        <v>2006.0</v>
      </c>
      <c r="C433" s="6">
        <v>238.5777778</v>
      </c>
      <c r="D433" s="6">
        <v>356.6333333</v>
      </c>
      <c r="E433" s="6">
        <v>59.27777778</v>
      </c>
      <c r="F433" s="6">
        <v>24.08</v>
      </c>
      <c r="G433" s="6">
        <v>21.27777778</v>
      </c>
      <c r="H433" s="6">
        <v>1528.036667</v>
      </c>
      <c r="I433" s="6">
        <v>3.268888889</v>
      </c>
      <c r="J433" s="6" t="s">
        <v>25</v>
      </c>
    </row>
    <row r="434">
      <c r="A434" s="6" t="s">
        <v>45</v>
      </c>
      <c r="B434" s="6">
        <v>2007.0</v>
      </c>
      <c r="C434" s="6">
        <v>507.527619</v>
      </c>
      <c r="D434" s="6">
        <v>243.7685714</v>
      </c>
      <c r="E434" s="6">
        <v>48.23047619</v>
      </c>
      <c r="F434" s="6">
        <v>25.44190476</v>
      </c>
      <c r="G434" s="6">
        <v>25.83190476</v>
      </c>
      <c r="H434" s="6">
        <v>1585.517619</v>
      </c>
      <c r="I434" s="6">
        <v>2.689047619</v>
      </c>
      <c r="J434" s="6" t="s">
        <v>16</v>
      </c>
    </row>
    <row r="435">
      <c r="A435" s="6" t="s">
        <v>45</v>
      </c>
      <c r="B435" s="6">
        <v>2008.0</v>
      </c>
      <c r="C435" s="6">
        <v>561.0422222</v>
      </c>
      <c r="D435" s="6">
        <v>246.1055556</v>
      </c>
      <c r="E435" s="6">
        <v>64.07666667</v>
      </c>
      <c r="F435" s="6">
        <v>27.33222222</v>
      </c>
      <c r="G435" s="6">
        <v>28.31777778</v>
      </c>
      <c r="H435" s="6">
        <v>1486.897778</v>
      </c>
      <c r="I435" s="6">
        <v>3.05</v>
      </c>
      <c r="J435" s="6" t="s">
        <v>16</v>
      </c>
    </row>
    <row r="436">
      <c r="A436" s="6" t="s">
        <v>45</v>
      </c>
      <c r="B436" s="6">
        <v>2009.0</v>
      </c>
      <c r="C436" s="6">
        <v>588.5592308</v>
      </c>
      <c r="D436" s="6">
        <v>271.4430769</v>
      </c>
      <c r="E436" s="6">
        <v>53.63461538</v>
      </c>
      <c r="F436" s="6">
        <v>25.03307692</v>
      </c>
      <c r="G436" s="6">
        <v>26.45692308</v>
      </c>
      <c r="H436" s="6">
        <v>1445.251538</v>
      </c>
      <c r="I436" s="6">
        <v>2.091538462</v>
      </c>
      <c r="J436" s="6" t="s">
        <v>16</v>
      </c>
    </row>
    <row r="437">
      <c r="A437" s="6" t="s">
        <v>45</v>
      </c>
      <c r="B437" s="6">
        <v>2010.0</v>
      </c>
      <c r="C437" s="6">
        <v>559.4483333</v>
      </c>
      <c r="D437" s="6">
        <v>294.835</v>
      </c>
      <c r="E437" s="6">
        <v>49.48666667</v>
      </c>
      <c r="F437" s="6">
        <v>26.29833333</v>
      </c>
      <c r="G437" s="6">
        <v>17.395</v>
      </c>
      <c r="H437" s="6">
        <v>1073.235</v>
      </c>
      <c r="I437" s="6">
        <v>2.63</v>
      </c>
      <c r="J437" s="6" t="s">
        <v>16</v>
      </c>
    </row>
    <row r="438">
      <c r="A438" s="6" t="s">
        <v>45</v>
      </c>
      <c r="B438" s="6">
        <v>2011.0</v>
      </c>
      <c r="C438" s="6">
        <v>656.747</v>
      </c>
      <c r="D438" s="6">
        <v>308.302</v>
      </c>
      <c r="E438" s="6">
        <v>51.858</v>
      </c>
      <c r="F438" s="6">
        <v>32.782</v>
      </c>
      <c r="G438" s="6">
        <v>25.348</v>
      </c>
      <c r="H438" s="6">
        <v>1727.334</v>
      </c>
      <c r="I438" s="6">
        <v>2.3</v>
      </c>
      <c r="J438" s="6" t="s">
        <v>25</v>
      </c>
    </row>
    <row r="439">
      <c r="A439" s="6" t="s">
        <v>45</v>
      </c>
      <c r="B439" s="6">
        <v>2012.0</v>
      </c>
      <c r="C439" s="6">
        <v>528.5618182</v>
      </c>
      <c r="D439" s="6">
        <v>344.8727273</v>
      </c>
      <c r="E439" s="6">
        <v>58.39636364</v>
      </c>
      <c r="F439" s="6">
        <v>29.32636364</v>
      </c>
      <c r="G439" s="6">
        <v>27.00636364</v>
      </c>
      <c r="H439" s="6">
        <v>1696.953636</v>
      </c>
      <c r="I439" s="6">
        <v>2.898181818</v>
      </c>
      <c r="J439" s="6" t="s">
        <v>25</v>
      </c>
    </row>
    <row r="440">
      <c r="A440" s="6" t="s">
        <v>45</v>
      </c>
      <c r="B440" s="6">
        <v>2013.0</v>
      </c>
      <c r="C440" s="6">
        <v>486.4728571</v>
      </c>
      <c r="D440" s="6">
        <v>309.3385714</v>
      </c>
      <c r="E440" s="6">
        <v>50.36285714</v>
      </c>
      <c r="F440" s="6">
        <v>33.51428571</v>
      </c>
      <c r="G440" s="6">
        <v>20.88857143</v>
      </c>
      <c r="H440" s="6">
        <v>1671.73</v>
      </c>
      <c r="I440" s="6">
        <v>2.2</v>
      </c>
      <c r="J440" s="6" t="s">
        <v>25</v>
      </c>
    </row>
    <row r="441">
      <c r="A441" s="6" t="s">
        <v>45</v>
      </c>
      <c r="B441" s="6">
        <v>2014.0</v>
      </c>
      <c r="C441" s="6">
        <v>333.6066667</v>
      </c>
      <c r="D441" s="6">
        <v>290.3255556</v>
      </c>
      <c r="E441" s="6">
        <v>47.01111111</v>
      </c>
      <c r="F441" s="6">
        <v>33.99222222</v>
      </c>
      <c r="G441" s="6">
        <v>20.02222222</v>
      </c>
      <c r="H441" s="6">
        <v>1442.087778</v>
      </c>
      <c r="I441" s="6">
        <v>2.124444444</v>
      </c>
      <c r="J441" s="6" t="s">
        <v>16</v>
      </c>
    </row>
    <row r="442">
      <c r="A442" s="6" t="s">
        <v>45</v>
      </c>
      <c r="B442" s="6">
        <v>2015.0</v>
      </c>
      <c r="C442" s="6">
        <v>519.4166667</v>
      </c>
      <c r="D442" s="6">
        <v>283.24</v>
      </c>
      <c r="E442" s="6">
        <v>45.15166667</v>
      </c>
      <c r="F442" s="6">
        <v>27.74333333</v>
      </c>
      <c r="G442" s="6">
        <v>28.62666667</v>
      </c>
      <c r="H442" s="6">
        <v>2226.573333</v>
      </c>
      <c r="I442" s="6">
        <v>2.785</v>
      </c>
      <c r="J442" s="6" t="s">
        <v>16</v>
      </c>
    </row>
    <row r="443">
      <c r="A443" s="6" t="s">
        <v>45</v>
      </c>
      <c r="B443" s="6">
        <v>2016.0</v>
      </c>
      <c r="C443" s="6">
        <v>546.485</v>
      </c>
      <c r="D443" s="6">
        <v>245.265</v>
      </c>
      <c r="E443" s="6">
        <v>55.77357143</v>
      </c>
      <c r="F443" s="6">
        <v>31.12214286</v>
      </c>
      <c r="G443" s="6">
        <v>22.05285714</v>
      </c>
      <c r="H443" s="6">
        <v>1809.780714</v>
      </c>
      <c r="I443" s="6">
        <v>3.039285714</v>
      </c>
      <c r="J443" s="6" t="s">
        <v>16</v>
      </c>
    </row>
    <row r="444">
      <c r="A444" s="6" t="s">
        <v>45</v>
      </c>
      <c r="B444" s="6">
        <v>2017.0</v>
      </c>
      <c r="C444" s="6">
        <v>600.2933333</v>
      </c>
      <c r="D444" s="6">
        <v>321.4033333</v>
      </c>
      <c r="E444" s="6">
        <v>42.67166667</v>
      </c>
      <c r="F444" s="6">
        <v>24.3225</v>
      </c>
      <c r="G444" s="6">
        <v>27.2075</v>
      </c>
      <c r="H444" s="6">
        <v>1419.746667</v>
      </c>
      <c r="I444" s="6">
        <v>2.67</v>
      </c>
      <c r="J444" s="6" t="s">
        <v>25</v>
      </c>
    </row>
    <row r="445">
      <c r="A445" s="6" t="s">
        <v>45</v>
      </c>
      <c r="B445" s="6">
        <v>2018.0</v>
      </c>
      <c r="C445" s="6">
        <v>348.3942857</v>
      </c>
      <c r="D445" s="6">
        <v>285.0814286</v>
      </c>
      <c r="E445" s="6">
        <v>54.24285714</v>
      </c>
      <c r="F445" s="6">
        <v>25.04285714</v>
      </c>
      <c r="G445" s="6">
        <v>26.81142857</v>
      </c>
      <c r="H445" s="6">
        <v>1612.86</v>
      </c>
      <c r="I445" s="6">
        <v>2.267142857</v>
      </c>
      <c r="J445" s="6" t="s">
        <v>16</v>
      </c>
    </row>
    <row r="446">
      <c r="A446" s="6" t="s">
        <v>45</v>
      </c>
      <c r="B446" s="6">
        <v>2019.0</v>
      </c>
      <c r="C446" s="6">
        <v>454.1371429</v>
      </c>
      <c r="D446" s="6">
        <v>368.23</v>
      </c>
      <c r="E446" s="6">
        <v>57.08714286</v>
      </c>
      <c r="F446" s="6">
        <v>37.63714286</v>
      </c>
      <c r="G446" s="6">
        <v>25.18714286</v>
      </c>
      <c r="H446" s="6">
        <v>1400.244286</v>
      </c>
      <c r="I446" s="6">
        <v>2.042857143</v>
      </c>
      <c r="J446" s="6" t="s">
        <v>25</v>
      </c>
    </row>
    <row r="447">
      <c r="A447" s="6" t="s">
        <v>45</v>
      </c>
      <c r="B447" s="6">
        <v>2020.0</v>
      </c>
      <c r="C447" s="6">
        <v>316.5153846</v>
      </c>
      <c r="D447" s="6">
        <v>204.3346154</v>
      </c>
      <c r="E447" s="6">
        <v>55.45230769</v>
      </c>
      <c r="F447" s="6">
        <v>24.12153846</v>
      </c>
      <c r="G447" s="6">
        <v>25.9</v>
      </c>
      <c r="H447" s="6">
        <v>1310.841538</v>
      </c>
      <c r="I447" s="6">
        <v>1.645384615</v>
      </c>
      <c r="J447" s="6" t="s">
        <v>16</v>
      </c>
    </row>
    <row r="448">
      <c r="A448" s="6" t="s">
        <v>45</v>
      </c>
      <c r="B448" s="6">
        <v>2021.0</v>
      </c>
      <c r="C448" s="6">
        <v>494.8125</v>
      </c>
      <c r="D448" s="6">
        <v>261.5475</v>
      </c>
      <c r="E448" s="6">
        <v>51.05916667</v>
      </c>
      <c r="F448" s="6">
        <v>27.50666667</v>
      </c>
      <c r="G448" s="6">
        <v>25.66083333</v>
      </c>
      <c r="H448" s="6">
        <v>1566.1725</v>
      </c>
      <c r="I448" s="6">
        <v>2.2025</v>
      </c>
      <c r="J448" s="6" t="s">
        <v>16</v>
      </c>
    </row>
    <row r="449">
      <c r="A449" s="6" t="s">
        <v>45</v>
      </c>
      <c r="B449" s="6">
        <v>2022.0</v>
      </c>
      <c r="C449" s="6">
        <v>494.2054545</v>
      </c>
      <c r="D449" s="6">
        <v>280.7090909</v>
      </c>
      <c r="E449" s="6">
        <v>59.33090909</v>
      </c>
      <c r="F449" s="6">
        <v>31.51909091</v>
      </c>
      <c r="G449" s="6">
        <v>22.01818182</v>
      </c>
      <c r="H449" s="6">
        <v>2069.79</v>
      </c>
      <c r="I449" s="6">
        <v>2.282727273</v>
      </c>
      <c r="J449" s="6" t="s">
        <v>16</v>
      </c>
    </row>
    <row r="450">
      <c r="A450" s="6" t="s">
        <v>45</v>
      </c>
      <c r="B450" s="6">
        <v>2023.0</v>
      </c>
      <c r="C450" s="6">
        <v>589.718125</v>
      </c>
      <c r="D450" s="6">
        <v>231.86</v>
      </c>
      <c r="E450" s="6">
        <v>46.844375</v>
      </c>
      <c r="F450" s="6">
        <v>32.35125</v>
      </c>
      <c r="G450" s="6">
        <v>24.260625</v>
      </c>
      <c r="H450" s="6">
        <v>1069.414375</v>
      </c>
      <c r="I450" s="6">
        <v>2.419375</v>
      </c>
      <c r="J450" s="6" t="s">
        <v>16</v>
      </c>
    </row>
    <row r="451">
      <c r="A451" s="6" t="s">
        <v>45</v>
      </c>
      <c r="B451" s="6">
        <v>2024.0</v>
      </c>
      <c r="C451" s="6">
        <v>543.2171429</v>
      </c>
      <c r="D451" s="6">
        <v>289.775</v>
      </c>
      <c r="E451" s="6">
        <v>46.73428571</v>
      </c>
      <c r="F451" s="6">
        <v>28.23428571</v>
      </c>
      <c r="G451" s="6">
        <v>23.02142857</v>
      </c>
      <c r="H451" s="6">
        <v>1500.379286</v>
      </c>
      <c r="I451" s="6">
        <v>2.782857143</v>
      </c>
      <c r="J451" s="6" t="s">
        <v>16</v>
      </c>
    </row>
    <row r="452">
      <c r="A452" s="6" t="s">
        <v>46</v>
      </c>
      <c r="B452" s="6">
        <v>2000.0</v>
      </c>
      <c r="C452" s="6">
        <v>511.9777778</v>
      </c>
      <c r="D452" s="6">
        <v>303.7622222</v>
      </c>
      <c r="E452" s="6">
        <v>60.74888889</v>
      </c>
      <c r="F452" s="6">
        <v>30.20222222</v>
      </c>
      <c r="G452" s="6">
        <v>26.15</v>
      </c>
      <c r="H452" s="6">
        <v>1550.187778</v>
      </c>
      <c r="I452" s="6">
        <v>1.718888889</v>
      </c>
      <c r="J452" s="6" t="s">
        <v>25</v>
      </c>
    </row>
    <row r="453">
      <c r="A453" s="6" t="s">
        <v>46</v>
      </c>
      <c r="B453" s="6">
        <v>2001.0</v>
      </c>
      <c r="C453" s="6">
        <v>623.7291667</v>
      </c>
      <c r="D453" s="6">
        <v>291.4075</v>
      </c>
      <c r="E453" s="6">
        <v>49.29666667</v>
      </c>
      <c r="F453" s="6">
        <v>19.98</v>
      </c>
      <c r="G453" s="6">
        <v>26.32833333</v>
      </c>
      <c r="H453" s="6">
        <v>914.5833333</v>
      </c>
      <c r="I453" s="6">
        <v>2.129166667</v>
      </c>
      <c r="J453" s="6" t="s">
        <v>16</v>
      </c>
    </row>
    <row r="454">
      <c r="A454" s="6" t="s">
        <v>46</v>
      </c>
      <c r="B454" s="6">
        <v>2002.0</v>
      </c>
      <c r="C454" s="6">
        <v>553.6775</v>
      </c>
      <c r="D454" s="6">
        <v>317.26375</v>
      </c>
      <c r="E454" s="6">
        <v>44.54625</v>
      </c>
      <c r="F454" s="6">
        <v>30.28</v>
      </c>
      <c r="G454" s="6">
        <v>25.5775</v>
      </c>
      <c r="H454" s="6">
        <v>2245.45</v>
      </c>
      <c r="I454" s="6">
        <v>2.48875</v>
      </c>
      <c r="J454" s="6" t="s">
        <v>25</v>
      </c>
    </row>
    <row r="455">
      <c r="A455" s="6" t="s">
        <v>46</v>
      </c>
      <c r="B455" s="6">
        <v>2003.0</v>
      </c>
      <c r="C455" s="6">
        <v>461.87</v>
      </c>
      <c r="D455" s="6">
        <v>312.6483333</v>
      </c>
      <c r="E455" s="6">
        <v>40.42833333</v>
      </c>
      <c r="F455" s="6">
        <v>34.32166667</v>
      </c>
      <c r="G455" s="6">
        <v>24.305</v>
      </c>
      <c r="H455" s="6">
        <v>1304.866667</v>
      </c>
      <c r="I455" s="6">
        <v>2.078333333</v>
      </c>
      <c r="J455" s="6" t="s">
        <v>25</v>
      </c>
    </row>
    <row r="456">
      <c r="A456" s="6" t="s">
        <v>46</v>
      </c>
      <c r="B456" s="6">
        <v>2004.0</v>
      </c>
      <c r="C456" s="6">
        <v>325.1322222</v>
      </c>
      <c r="D456" s="6">
        <v>356.4788889</v>
      </c>
      <c r="E456" s="6">
        <v>39.73555556</v>
      </c>
      <c r="F456" s="6">
        <v>28.57111111</v>
      </c>
      <c r="G456" s="6">
        <v>27.27888889</v>
      </c>
      <c r="H456" s="6">
        <v>1441.938889</v>
      </c>
      <c r="I456" s="6">
        <v>2.441111111</v>
      </c>
      <c r="J456" s="6" t="s">
        <v>25</v>
      </c>
    </row>
    <row r="457">
      <c r="A457" s="6" t="s">
        <v>46</v>
      </c>
      <c r="B457" s="6">
        <v>2005.0</v>
      </c>
      <c r="C457" s="6">
        <v>366.83</v>
      </c>
      <c r="D457" s="6">
        <v>298.6971429</v>
      </c>
      <c r="E457" s="6">
        <v>51.12285714</v>
      </c>
      <c r="F457" s="6">
        <v>25.17</v>
      </c>
      <c r="G457" s="6">
        <v>31.76714286</v>
      </c>
      <c r="H457" s="6">
        <v>1276.987143</v>
      </c>
      <c r="I457" s="6">
        <v>2.561428571</v>
      </c>
      <c r="J457" s="6" t="s">
        <v>16</v>
      </c>
    </row>
    <row r="458">
      <c r="A458" s="6" t="s">
        <v>46</v>
      </c>
      <c r="B458" s="6">
        <v>2006.0</v>
      </c>
      <c r="C458" s="6">
        <v>416.965</v>
      </c>
      <c r="D458" s="6">
        <v>313.617</v>
      </c>
      <c r="E458" s="6">
        <v>57.034</v>
      </c>
      <c r="F458" s="6">
        <v>31.292</v>
      </c>
      <c r="G458" s="6">
        <v>27.559</v>
      </c>
      <c r="H458" s="6">
        <v>1848.656</v>
      </c>
      <c r="I458" s="6">
        <v>2.26</v>
      </c>
      <c r="J458" s="6" t="s">
        <v>25</v>
      </c>
    </row>
    <row r="459">
      <c r="A459" s="6" t="s">
        <v>46</v>
      </c>
      <c r="B459" s="6">
        <v>2007.0</v>
      </c>
      <c r="C459" s="6">
        <v>413.211875</v>
      </c>
      <c r="D459" s="6">
        <v>249.995625</v>
      </c>
      <c r="E459" s="6">
        <v>55.030625</v>
      </c>
      <c r="F459" s="6">
        <v>26.97875</v>
      </c>
      <c r="G459" s="6">
        <v>25.735</v>
      </c>
      <c r="H459" s="6">
        <v>1572.255</v>
      </c>
      <c r="I459" s="6">
        <v>2.505</v>
      </c>
      <c r="J459" s="6" t="s">
        <v>16</v>
      </c>
    </row>
    <row r="460">
      <c r="A460" s="6" t="s">
        <v>46</v>
      </c>
      <c r="B460" s="6">
        <v>2008.0</v>
      </c>
      <c r="C460" s="6">
        <v>573.33</v>
      </c>
      <c r="D460" s="6">
        <v>313.1222222</v>
      </c>
      <c r="E460" s="6">
        <v>50.68222222</v>
      </c>
      <c r="F460" s="6">
        <v>28.24</v>
      </c>
      <c r="G460" s="6">
        <v>15.20888889</v>
      </c>
      <c r="H460" s="6">
        <v>1111.303333</v>
      </c>
      <c r="I460" s="6">
        <v>2.558888889</v>
      </c>
      <c r="J460" s="6" t="s">
        <v>25</v>
      </c>
    </row>
    <row r="461">
      <c r="A461" s="6" t="s">
        <v>46</v>
      </c>
      <c r="B461" s="6">
        <v>2009.0</v>
      </c>
      <c r="C461" s="6">
        <v>332.8966667</v>
      </c>
      <c r="D461" s="6">
        <v>223.7733333</v>
      </c>
      <c r="E461" s="6">
        <v>43.24333333</v>
      </c>
      <c r="F461" s="6">
        <v>13.27666667</v>
      </c>
      <c r="G461" s="6">
        <v>25.45333333</v>
      </c>
      <c r="H461" s="6">
        <v>1010.46</v>
      </c>
      <c r="I461" s="6">
        <v>4.123333333</v>
      </c>
      <c r="J461" s="6" t="s">
        <v>16</v>
      </c>
    </row>
    <row r="462">
      <c r="A462" s="6" t="s">
        <v>46</v>
      </c>
      <c r="B462" s="6">
        <v>2010.0</v>
      </c>
      <c r="C462" s="6">
        <v>633.4355556</v>
      </c>
      <c r="D462" s="6">
        <v>289.0511111</v>
      </c>
      <c r="E462" s="6">
        <v>45.75888889</v>
      </c>
      <c r="F462" s="6">
        <v>29.08222222</v>
      </c>
      <c r="G462" s="6">
        <v>27.09444444</v>
      </c>
      <c r="H462" s="6">
        <v>1759.832222</v>
      </c>
      <c r="I462" s="6">
        <v>2.584444444</v>
      </c>
      <c r="J462" s="6" t="s">
        <v>16</v>
      </c>
    </row>
    <row r="463">
      <c r="A463" s="6" t="s">
        <v>46</v>
      </c>
      <c r="B463" s="6">
        <v>2011.0</v>
      </c>
      <c r="C463" s="6">
        <v>540.5671429</v>
      </c>
      <c r="D463" s="6">
        <v>231.8842857</v>
      </c>
      <c r="E463" s="6">
        <v>56.94142857</v>
      </c>
      <c r="F463" s="6">
        <v>24.63428571</v>
      </c>
      <c r="G463" s="6">
        <v>28.80571429</v>
      </c>
      <c r="H463" s="6">
        <v>1563.498571</v>
      </c>
      <c r="I463" s="6">
        <v>3.102857143</v>
      </c>
      <c r="J463" s="6" t="s">
        <v>16</v>
      </c>
    </row>
    <row r="464">
      <c r="A464" s="6" t="s">
        <v>46</v>
      </c>
      <c r="B464" s="6">
        <v>2012.0</v>
      </c>
      <c r="C464" s="6">
        <v>583.028</v>
      </c>
      <c r="D464" s="6">
        <v>256.86</v>
      </c>
      <c r="E464" s="6">
        <v>55.234</v>
      </c>
      <c r="F464" s="6">
        <v>25.092</v>
      </c>
      <c r="G464" s="6">
        <v>28.568</v>
      </c>
      <c r="H464" s="6">
        <v>1908.753</v>
      </c>
      <c r="I464" s="6">
        <v>2.57</v>
      </c>
      <c r="J464" s="6" t="s">
        <v>16</v>
      </c>
    </row>
    <row r="465">
      <c r="A465" s="6" t="s">
        <v>46</v>
      </c>
      <c r="B465" s="6">
        <v>2013.0</v>
      </c>
      <c r="C465" s="6">
        <v>470.0369231</v>
      </c>
      <c r="D465" s="6">
        <v>244.7284615</v>
      </c>
      <c r="E465" s="6">
        <v>50.42769231</v>
      </c>
      <c r="F465" s="6">
        <v>33.39230769</v>
      </c>
      <c r="G465" s="6">
        <v>26.90769231</v>
      </c>
      <c r="H465" s="6">
        <v>2098.403846</v>
      </c>
      <c r="I465" s="6">
        <v>2.327692308</v>
      </c>
      <c r="J465" s="6" t="s">
        <v>16</v>
      </c>
    </row>
    <row r="466">
      <c r="A466" s="6" t="s">
        <v>46</v>
      </c>
      <c r="B466" s="6">
        <v>2014.0</v>
      </c>
      <c r="C466" s="6">
        <v>402.7325</v>
      </c>
      <c r="D466" s="6">
        <v>311.57875</v>
      </c>
      <c r="E466" s="6">
        <v>44.44875</v>
      </c>
      <c r="F466" s="6">
        <v>32.54875</v>
      </c>
      <c r="G466" s="6">
        <v>28.5425</v>
      </c>
      <c r="H466" s="6">
        <v>1369.095</v>
      </c>
      <c r="I466" s="6">
        <v>3.0</v>
      </c>
      <c r="J466" s="6" t="s">
        <v>25</v>
      </c>
    </row>
    <row r="467">
      <c r="A467" s="6" t="s">
        <v>46</v>
      </c>
      <c r="B467" s="6">
        <v>2015.0</v>
      </c>
      <c r="C467" s="6">
        <v>523.8277778</v>
      </c>
      <c r="D467" s="6">
        <v>224.7188889</v>
      </c>
      <c r="E467" s="6">
        <v>42.65888889</v>
      </c>
      <c r="F467" s="6">
        <v>24.40888889</v>
      </c>
      <c r="G467" s="6">
        <v>21.33222222</v>
      </c>
      <c r="H467" s="6">
        <v>1669.285556</v>
      </c>
      <c r="I467" s="6">
        <v>3.212222222</v>
      </c>
      <c r="J467" s="6" t="s">
        <v>16</v>
      </c>
    </row>
    <row r="468">
      <c r="A468" s="6" t="s">
        <v>46</v>
      </c>
      <c r="B468" s="6">
        <v>2016.0</v>
      </c>
      <c r="C468" s="6">
        <v>394.5872727</v>
      </c>
      <c r="D468" s="6">
        <v>285.57</v>
      </c>
      <c r="E468" s="6">
        <v>53.00545455</v>
      </c>
      <c r="F468" s="6">
        <v>31.70909091</v>
      </c>
      <c r="G468" s="6">
        <v>22.00818182</v>
      </c>
      <c r="H468" s="6">
        <v>1527.530909</v>
      </c>
      <c r="I468" s="6">
        <v>2.139090909</v>
      </c>
      <c r="J468" s="6" t="s">
        <v>16</v>
      </c>
    </row>
    <row r="469">
      <c r="A469" s="6" t="s">
        <v>46</v>
      </c>
      <c r="B469" s="6">
        <v>2017.0</v>
      </c>
      <c r="C469" s="6">
        <v>361.1922222</v>
      </c>
      <c r="D469" s="6">
        <v>226.0122222</v>
      </c>
      <c r="E469" s="6">
        <v>48.27555556</v>
      </c>
      <c r="F469" s="6">
        <v>26.38444444</v>
      </c>
      <c r="G469" s="6">
        <v>27.13444444</v>
      </c>
      <c r="H469" s="6">
        <v>1948.038889</v>
      </c>
      <c r="I469" s="6">
        <v>2.832222222</v>
      </c>
      <c r="J469" s="6" t="s">
        <v>16</v>
      </c>
    </row>
    <row r="470">
      <c r="A470" s="6" t="s">
        <v>46</v>
      </c>
      <c r="B470" s="6">
        <v>2018.0</v>
      </c>
      <c r="C470" s="6">
        <v>628.4711111</v>
      </c>
      <c r="D470" s="6">
        <v>248.5822222</v>
      </c>
      <c r="E470" s="6">
        <v>55.56444444</v>
      </c>
      <c r="F470" s="6">
        <v>30.03222222</v>
      </c>
      <c r="G470" s="6">
        <v>24.52111111</v>
      </c>
      <c r="H470" s="6">
        <v>1746.037778</v>
      </c>
      <c r="I470" s="6">
        <v>2.272222222</v>
      </c>
      <c r="J470" s="6" t="s">
        <v>16</v>
      </c>
    </row>
    <row r="471">
      <c r="A471" s="6" t="s">
        <v>46</v>
      </c>
      <c r="B471" s="6">
        <v>2019.0</v>
      </c>
      <c r="C471" s="6">
        <v>475.0791667</v>
      </c>
      <c r="D471" s="6">
        <v>281.0666667</v>
      </c>
      <c r="E471" s="6">
        <v>53.50666667</v>
      </c>
      <c r="F471" s="6">
        <v>26.58</v>
      </c>
      <c r="G471" s="6">
        <v>23.5575</v>
      </c>
      <c r="H471" s="6">
        <v>1515.801667</v>
      </c>
      <c r="I471" s="6">
        <v>2.711666667</v>
      </c>
      <c r="J471" s="6" t="s">
        <v>16</v>
      </c>
    </row>
    <row r="472">
      <c r="A472" s="6" t="s">
        <v>46</v>
      </c>
      <c r="B472" s="6">
        <v>2020.0</v>
      </c>
      <c r="C472" s="6">
        <v>553.333</v>
      </c>
      <c r="D472" s="6">
        <v>251.084</v>
      </c>
      <c r="E472" s="6">
        <v>52.326</v>
      </c>
      <c r="F472" s="6">
        <v>31.898</v>
      </c>
      <c r="G472" s="6">
        <v>20.014</v>
      </c>
      <c r="H472" s="6">
        <v>1944.06</v>
      </c>
      <c r="I472" s="6">
        <v>2.378</v>
      </c>
      <c r="J472" s="6" t="s">
        <v>16</v>
      </c>
    </row>
    <row r="473">
      <c r="A473" s="6" t="s">
        <v>46</v>
      </c>
      <c r="B473" s="6">
        <v>2021.0</v>
      </c>
      <c r="C473" s="6">
        <v>525.818</v>
      </c>
      <c r="D473" s="6">
        <v>238.202</v>
      </c>
      <c r="E473" s="6">
        <v>56.3</v>
      </c>
      <c r="F473" s="6">
        <v>27.606</v>
      </c>
      <c r="G473" s="6">
        <v>28.488</v>
      </c>
      <c r="H473" s="6">
        <v>1511.726</v>
      </c>
      <c r="I473" s="6">
        <v>2.914</v>
      </c>
      <c r="J473" s="6" t="s">
        <v>16</v>
      </c>
    </row>
    <row r="474">
      <c r="A474" s="6" t="s">
        <v>46</v>
      </c>
      <c r="B474" s="6">
        <v>2022.0</v>
      </c>
      <c r="C474" s="6">
        <v>471.931</v>
      </c>
      <c r="D474" s="6">
        <v>282.425</v>
      </c>
      <c r="E474" s="6">
        <v>54.908</v>
      </c>
      <c r="F474" s="6">
        <v>24.93</v>
      </c>
      <c r="G474" s="6">
        <v>26.099</v>
      </c>
      <c r="H474" s="6">
        <v>1836.534</v>
      </c>
      <c r="I474" s="6">
        <v>2.937</v>
      </c>
      <c r="J474" s="6" t="s">
        <v>16</v>
      </c>
    </row>
    <row r="475">
      <c r="A475" s="6" t="s">
        <v>46</v>
      </c>
      <c r="B475" s="6">
        <v>2023.0</v>
      </c>
      <c r="C475" s="6">
        <v>519.0361538</v>
      </c>
      <c r="D475" s="6">
        <v>337.9776923</v>
      </c>
      <c r="E475" s="6">
        <v>50.62153846</v>
      </c>
      <c r="F475" s="6">
        <v>27.77307692</v>
      </c>
      <c r="G475" s="6">
        <v>23.56923077</v>
      </c>
      <c r="H475" s="6">
        <v>1585.790769</v>
      </c>
      <c r="I475" s="6">
        <v>2.583076923</v>
      </c>
      <c r="J475" s="6" t="s">
        <v>25</v>
      </c>
    </row>
    <row r="476">
      <c r="A476" s="6" t="s">
        <v>46</v>
      </c>
      <c r="B476" s="6">
        <v>2024.0</v>
      </c>
      <c r="C476" s="6">
        <v>498.77875</v>
      </c>
      <c r="D476" s="6">
        <v>334.45375</v>
      </c>
      <c r="E476" s="6">
        <v>48.76875</v>
      </c>
      <c r="F476" s="6">
        <v>27.89</v>
      </c>
      <c r="G476" s="6">
        <v>25.575</v>
      </c>
      <c r="H476" s="6">
        <v>1576.25875</v>
      </c>
      <c r="I476" s="6">
        <v>2.82375</v>
      </c>
      <c r="J476" s="6" t="s">
        <v>25</v>
      </c>
    </row>
    <row r="477">
      <c r="A477" s="6" t="s">
        <v>48</v>
      </c>
      <c r="B477" s="6">
        <v>2000.0</v>
      </c>
      <c r="C477" s="6">
        <v>631.304</v>
      </c>
      <c r="D477" s="6">
        <v>275.05</v>
      </c>
      <c r="E477" s="6">
        <v>45.629</v>
      </c>
      <c r="F477" s="6">
        <v>29.396</v>
      </c>
      <c r="G477" s="6">
        <v>21.615</v>
      </c>
      <c r="H477" s="6">
        <v>2080.405</v>
      </c>
      <c r="I477" s="6">
        <v>1.814</v>
      </c>
      <c r="J477" s="6" t="s">
        <v>16</v>
      </c>
    </row>
    <row r="478">
      <c r="A478" s="6" t="s">
        <v>48</v>
      </c>
      <c r="B478" s="6">
        <v>2001.0</v>
      </c>
      <c r="C478" s="6">
        <v>445.1727273</v>
      </c>
      <c r="D478" s="6">
        <v>300.59</v>
      </c>
      <c r="E478" s="6">
        <v>50.02090909</v>
      </c>
      <c r="F478" s="6">
        <v>20.72272727</v>
      </c>
      <c r="G478" s="6">
        <v>26.71272727</v>
      </c>
      <c r="H478" s="6">
        <v>1845.639091</v>
      </c>
      <c r="I478" s="6">
        <v>3.025454545</v>
      </c>
      <c r="J478" s="6" t="s">
        <v>25</v>
      </c>
    </row>
    <row r="479">
      <c r="A479" s="6" t="s">
        <v>48</v>
      </c>
      <c r="B479" s="6">
        <v>2002.0</v>
      </c>
      <c r="C479" s="6">
        <v>606.1272727</v>
      </c>
      <c r="D479" s="6">
        <v>229.0963636</v>
      </c>
      <c r="E479" s="6">
        <v>46.24545455</v>
      </c>
      <c r="F479" s="6">
        <v>23.85090909</v>
      </c>
      <c r="G479" s="6">
        <v>28.93181818</v>
      </c>
      <c r="H479" s="6">
        <v>1411.564545</v>
      </c>
      <c r="I479" s="6">
        <v>2.382727273</v>
      </c>
      <c r="J479" s="6" t="s">
        <v>16</v>
      </c>
    </row>
    <row r="480">
      <c r="A480" s="6" t="s">
        <v>48</v>
      </c>
      <c r="B480" s="6">
        <v>2003.0</v>
      </c>
      <c r="C480" s="6">
        <v>601.7725</v>
      </c>
      <c r="D480" s="6">
        <v>250.8616667</v>
      </c>
      <c r="E480" s="6">
        <v>47.18416667</v>
      </c>
      <c r="F480" s="6">
        <v>31.21416667</v>
      </c>
      <c r="G480" s="6">
        <v>25.23416667</v>
      </c>
      <c r="H480" s="6">
        <v>1179.5675</v>
      </c>
      <c r="I480" s="6">
        <v>2.644166667</v>
      </c>
      <c r="J480" s="6" t="s">
        <v>16</v>
      </c>
    </row>
    <row r="481">
      <c r="A481" s="6" t="s">
        <v>48</v>
      </c>
      <c r="B481" s="6">
        <v>2004.0</v>
      </c>
      <c r="C481" s="6">
        <v>626.24</v>
      </c>
      <c r="D481" s="6">
        <v>320.4123077</v>
      </c>
      <c r="E481" s="6">
        <v>52.50846154</v>
      </c>
      <c r="F481" s="6">
        <v>28.36769231</v>
      </c>
      <c r="G481" s="6">
        <v>24.63</v>
      </c>
      <c r="H481" s="6">
        <v>1542.064615</v>
      </c>
      <c r="I481" s="6">
        <v>3.127692308</v>
      </c>
      <c r="J481" s="6" t="s">
        <v>25</v>
      </c>
    </row>
    <row r="482">
      <c r="A482" s="6" t="s">
        <v>48</v>
      </c>
      <c r="B482" s="6">
        <v>2005.0</v>
      </c>
      <c r="C482" s="6">
        <v>465.765</v>
      </c>
      <c r="D482" s="6">
        <v>326.798</v>
      </c>
      <c r="E482" s="6">
        <v>53.88</v>
      </c>
      <c r="F482" s="6">
        <v>18.971</v>
      </c>
      <c r="G482" s="6">
        <v>25.53</v>
      </c>
      <c r="H482" s="6">
        <v>1558.947</v>
      </c>
      <c r="I482" s="6">
        <v>2.989</v>
      </c>
      <c r="J482" s="6" t="s">
        <v>25</v>
      </c>
    </row>
    <row r="483">
      <c r="A483" s="6" t="s">
        <v>48</v>
      </c>
      <c r="B483" s="6">
        <v>2006.0</v>
      </c>
      <c r="C483" s="6">
        <v>444.7588889</v>
      </c>
      <c r="D483" s="6">
        <v>334.0377778</v>
      </c>
      <c r="E483" s="6">
        <v>58.65333333</v>
      </c>
      <c r="F483" s="6">
        <v>28.87222222</v>
      </c>
      <c r="G483" s="6">
        <v>28.33333333</v>
      </c>
      <c r="H483" s="6">
        <v>1992.126667</v>
      </c>
      <c r="I483" s="6">
        <v>3.084444444</v>
      </c>
      <c r="J483" s="6" t="s">
        <v>25</v>
      </c>
    </row>
    <row r="484">
      <c r="A484" s="6" t="s">
        <v>48</v>
      </c>
      <c r="B484" s="6">
        <v>2007.0</v>
      </c>
      <c r="C484" s="6">
        <v>649.6291667</v>
      </c>
      <c r="D484" s="6">
        <v>287.13</v>
      </c>
      <c r="E484" s="6">
        <v>49.7325</v>
      </c>
      <c r="F484" s="6">
        <v>26.3875</v>
      </c>
      <c r="G484" s="6">
        <v>24.375</v>
      </c>
      <c r="H484" s="6">
        <v>1783.709167</v>
      </c>
      <c r="I484" s="6">
        <v>3.150833333</v>
      </c>
      <c r="J484" s="6" t="s">
        <v>16</v>
      </c>
    </row>
    <row r="485">
      <c r="A485" s="6" t="s">
        <v>48</v>
      </c>
      <c r="B485" s="6">
        <v>2008.0</v>
      </c>
      <c r="C485" s="6">
        <v>548.2515385</v>
      </c>
      <c r="D485" s="6">
        <v>252.7869231</v>
      </c>
      <c r="E485" s="6">
        <v>46.98615385</v>
      </c>
      <c r="F485" s="6">
        <v>25.17615385</v>
      </c>
      <c r="G485" s="6">
        <v>24.98</v>
      </c>
      <c r="H485" s="6">
        <v>1691.000769</v>
      </c>
      <c r="I485" s="6">
        <v>1.811538462</v>
      </c>
      <c r="J485" s="6" t="s">
        <v>16</v>
      </c>
    </row>
    <row r="486">
      <c r="A486" s="6" t="s">
        <v>48</v>
      </c>
      <c r="B486" s="6">
        <v>2009.0</v>
      </c>
      <c r="C486" s="6">
        <v>743.6711111</v>
      </c>
      <c r="D486" s="6">
        <v>291.4511111</v>
      </c>
      <c r="E486" s="6">
        <v>51.75888889</v>
      </c>
      <c r="F486" s="6">
        <v>27.08</v>
      </c>
      <c r="G486" s="6">
        <v>24.74777778</v>
      </c>
      <c r="H486" s="6">
        <v>1732.991111</v>
      </c>
      <c r="I486" s="6">
        <v>2.148888889</v>
      </c>
      <c r="J486" s="6" t="s">
        <v>16</v>
      </c>
    </row>
    <row r="487">
      <c r="A487" s="6" t="s">
        <v>48</v>
      </c>
      <c r="B487" s="6">
        <v>2010.0</v>
      </c>
      <c r="C487" s="6">
        <v>626.2214286</v>
      </c>
      <c r="D487" s="6">
        <v>193.34</v>
      </c>
      <c r="E487" s="6">
        <v>53.69571429</v>
      </c>
      <c r="F487" s="6">
        <v>24.46142857</v>
      </c>
      <c r="G487" s="6">
        <v>20.44857143</v>
      </c>
      <c r="H487" s="6">
        <v>2032.701429</v>
      </c>
      <c r="I487" s="6">
        <v>1.912857143</v>
      </c>
      <c r="J487" s="6" t="s">
        <v>28</v>
      </c>
    </row>
    <row r="488">
      <c r="A488" s="6" t="s">
        <v>48</v>
      </c>
      <c r="B488" s="6">
        <v>2011.0</v>
      </c>
      <c r="C488" s="6">
        <v>556.9666667</v>
      </c>
      <c r="D488" s="6">
        <v>302.7077778</v>
      </c>
      <c r="E488" s="6">
        <v>50.31</v>
      </c>
      <c r="F488" s="6">
        <v>26.79444444</v>
      </c>
      <c r="G488" s="6">
        <v>28.63222222</v>
      </c>
      <c r="H488" s="6">
        <v>2110.113333</v>
      </c>
      <c r="I488" s="6">
        <v>1.811111111</v>
      </c>
      <c r="J488" s="6" t="s">
        <v>25</v>
      </c>
    </row>
    <row r="489">
      <c r="A489" s="6" t="s">
        <v>48</v>
      </c>
      <c r="B489" s="6">
        <v>2012.0</v>
      </c>
      <c r="C489" s="6">
        <v>589.28</v>
      </c>
      <c r="D489" s="6">
        <v>286.6557143</v>
      </c>
      <c r="E489" s="6">
        <v>53.03071429</v>
      </c>
      <c r="F489" s="6">
        <v>25.64857143</v>
      </c>
      <c r="G489" s="6">
        <v>29.54571429</v>
      </c>
      <c r="H489" s="6">
        <v>1492.678571</v>
      </c>
      <c r="I489" s="6">
        <v>2.286428571</v>
      </c>
      <c r="J489" s="6" t="s">
        <v>16</v>
      </c>
    </row>
    <row r="490">
      <c r="A490" s="6" t="s">
        <v>48</v>
      </c>
      <c r="B490" s="6">
        <v>2013.0</v>
      </c>
      <c r="C490" s="6">
        <v>318.79</v>
      </c>
      <c r="D490" s="6">
        <v>352.41</v>
      </c>
      <c r="E490" s="6">
        <v>49.1425</v>
      </c>
      <c r="F490" s="6">
        <v>30.51375</v>
      </c>
      <c r="G490" s="6">
        <v>23.555</v>
      </c>
      <c r="H490" s="6">
        <v>2019.13875</v>
      </c>
      <c r="I490" s="6">
        <v>1.5325</v>
      </c>
      <c r="J490" s="6" t="s">
        <v>25</v>
      </c>
    </row>
    <row r="491">
      <c r="A491" s="6" t="s">
        <v>48</v>
      </c>
      <c r="B491" s="6">
        <v>2014.0</v>
      </c>
      <c r="C491" s="6">
        <v>455.4454545</v>
      </c>
      <c r="D491" s="6">
        <v>258.6663636</v>
      </c>
      <c r="E491" s="6">
        <v>45.85454545</v>
      </c>
      <c r="F491" s="6">
        <v>30.85636364</v>
      </c>
      <c r="G491" s="6">
        <v>22.04818182</v>
      </c>
      <c r="H491" s="6">
        <v>2111.826364</v>
      </c>
      <c r="I491" s="6">
        <v>1.940909091</v>
      </c>
      <c r="J491" s="6" t="s">
        <v>16</v>
      </c>
    </row>
    <row r="492">
      <c r="A492" s="6" t="s">
        <v>48</v>
      </c>
      <c r="B492" s="6">
        <v>2015.0</v>
      </c>
      <c r="C492" s="6">
        <v>451.5457143</v>
      </c>
      <c r="D492" s="6">
        <v>247.3714286</v>
      </c>
      <c r="E492" s="6">
        <v>49.78785714</v>
      </c>
      <c r="F492" s="6">
        <v>33.30428571</v>
      </c>
      <c r="G492" s="6">
        <v>23.83928571</v>
      </c>
      <c r="H492" s="6">
        <v>1341.811429</v>
      </c>
      <c r="I492" s="6">
        <v>3.388571429</v>
      </c>
      <c r="J492" s="6" t="s">
        <v>16</v>
      </c>
    </row>
    <row r="493">
      <c r="A493" s="6" t="s">
        <v>48</v>
      </c>
      <c r="B493" s="6">
        <v>2016.0</v>
      </c>
      <c r="C493" s="6">
        <v>502.996</v>
      </c>
      <c r="D493" s="6">
        <v>277.038</v>
      </c>
      <c r="E493" s="6">
        <v>47.667</v>
      </c>
      <c r="F493" s="6">
        <v>26.53</v>
      </c>
      <c r="G493" s="6">
        <v>23.103</v>
      </c>
      <c r="H493" s="6">
        <v>1739.999</v>
      </c>
      <c r="I493" s="6">
        <v>2.645</v>
      </c>
      <c r="J493" s="6" t="s">
        <v>16</v>
      </c>
    </row>
    <row r="494">
      <c r="A494" s="6" t="s">
        <v>48</v>
      </c>
      <c r="B494" s="6">
        <v>2017.0</v>
      </c>
      <c r="C494" s="6">
        <v>431.505</v>
      </c>
      <c r="D494" s="6">
        <v>248.019</v>
      </c>
      <c r="E494" s="6">
        <v>57.999</v>
      </c>
      <c r="F494" s="6">
        <v>31.694</v>
      </c>
      <c r="G494" s="6">
        <v>29.452</v>
      </c>
      <c r="H494" s="6">
        <v>1529.067</v>
      </c>
      <c r="I494" s="6">
        <v>2.304</v>
      </c>
      <c r="J494" s="6" t="s">
        <v>16</v>
      </c>
    </row>
    <row r="495">
      <c r="A495" s="6" t="s">
        <v>48</v>
      </c>
      <c r="B495" s="6">
        <v>2018.0</v>
      </c>
      <c r="C495" s="6">
        <v>568.125</v>
      </c>
      <c r="D495" s="6">
        <v>275.02</v>
      </c>
      <c r="E495" s="6">
        <v>41.67</v>
      </c>
      <c r="F495" s="6">
        <v>29.94333333</v>
      </c>
      <c r="G495" s="6">
        <v>18.65666667</v>
      </c>
      <c r="H495" s="6">
        <v>1245.671667</v>
      </c>
      <c r="I495" s="6">
        <v>2.028333333</v>
      </c>
      <c r="J495" s="6" t="s">
        <v>16</v>
      </c>
    </row>
    <row r="496">
      <c r="A496" s="6" t="s">
        <v>48</v>
      </c>
      <c r="B496" s="6">
        <v>2019.0</v>
      </c>
      <c r="C496" s="6">
        <v>547.864375</v>
      </c>
      <c r="D496" s="6">
        <v>283.96875</v>
      </c>
      <c r="E496" s="6">
        <v>46.826875</v>
      </c>
      <c r="F496" s="6">
        <v>25.886875</v>
      </c>
      <c r="G496" s="6">
        <v>22.58</v>
      </c>
      <c r="H496" s="6">
        <v>1461.96625</v>
      </c>
      <c r="I496" s="6">
        <v>2.825</v>
      </c>
      <c r="J496" s="6" t="s">
        <v>16</v>
      </c>
    </row>
    <row r="497">
      <c r="A497" s="6" t="s">
        <v>48</v>
      </c>
      <c r="B497" s="6">
        <v>2020.0</v>
      </c>
      <c r="C497" s="6">
        <v>418.097</v>
      </c>
      <c r="D497" s="6">
        <v>292.97</v>
      </c>
      <c r="E497" s="6">
        <v>47.448</v>
      </c>
      <c r="F497" s="6">
        <v>25.266</v>
      </c>
      <c r="G497" s="6">
        <v>27.538</v>
      </c>
      <c r="H497" s="6">
        <v>1510.662</v>
      </c>
      <c r="I497" s="6">
        <v>2.431</v>
      </c>
      <c r="J497" s="6" t="s">
        <v>16</v>
      </c>
    </row>
    <row r="498">
      <c r="A498" s="6" t="s">
        <v>48</v>
      </c>
      <c r="B498" s="6">
        <v>2021.0</v>
      </c>
      <c r="C498" s="6">
        <v>572.094</v>
      </c>
      <c r="D498" s="6">
        <v>275.978</v>
      </c>
      <c r="E498" s="6">
        <v>46.195</v>
      </c>
      <c r="F498" s="6">
        <v>32.223</v>
      </c>
      <c r="G498" s="6">
        <v>26.72</v>
      </c>
      <c r="H498" s="6">
        <v>754.615</v>
      </c>
      <c r="I498" s="6">
        <v>2.628</v>
      </c>
      <c r="J498" s="6" t="s">
        <v>16</v>
      </c>
    </row>
    <row r="499">
      <c r="A499" s="6" t="s">
        <v>48</v>
      </c>
      <c r="B499" s="6">
        <v>2022.0</v>
      </c>
      <c r="C499" s="6">
        <v>440.978</v>
      </c>
      <c r="D499" s="6">
        <v>292.039</v>
      </c>
      <c r="E499" s="6">
        <v>54.81</v>
      </c>
      <c r="F499" s="6">
        <v>30.918</v>
      </c>
      <c r="G499" s="6">
        <v>22.638</v>
      </c>
      <c r="H499" s="6">
        <v>2119.898</v>
      </c>
      <c r="I499" s="6">
        <v>2.871</v>
      </c>
      <c r="J499" s="6" t="s">
        <v>16</v>
      </c>
    </row>
    <row r="500">
      <c r="A500" s="6" t="s">
        <v>48</v>
      </c>
      <c r="B500" s="6">
        <v>2023.0</v>
      </c>
      <c r="C500" s="6">
        <v>566.865</v>
      </c>
      <c r="D500" s="6">
        <v>261.1975</v>
      </c>
      <c r="E500" s="6">
        <v>62.945</v>
      </c>
      <c r="F500" s="6">
        <v>25.2075</v>
      </c>
      <c r="G500" s="6">
        <v>21.6325</v>
      </c>
      <c r="H500" s="6">
        <v>1439.155</v>
      </c>
      <c r="I500" s="6">
        <v>1.5975</v>
      </c>
      <c r="J500" s="6" t="s">
        <v>16</v>
      </c>
    </row>
    <row r="501">
      <c r="A501" s="6" t="s">
        <v>48</v>
      </c>
      <c r="B501" s="6">
        <v>2024.0</v>
      </c>
      <c r="C501" s="6">
        <v>249.485</v>
      </c>
      <c r="D501" s="6">
        <v>186.374</v>
      </c>
      <c r="E501" s="6">
        <v>51.386</v>
      </c>
      <c r="F501" s="6">
        <v>24.769</v>
      </c>
      <c r="G501" s="6">
        <v>27.677</v>
      </c>
      <c r="H501" s="6">
        <v>1771.199</v>
      </c>
      <c r="I501" s="6">
        <v>1.638</v>
      </c>
      <c r="J501" s="6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6.38"/>
  </cols>
  <sheetData>
    <row r="1">
      <c r="A1" s="2" t="s">
        <v>0</v>
      </c>
    </row>
    <row r="2">
      <c r="A2" s="5"/>
    </row>
    <row r="3">
      <c r="A3" s="2" t="s">
        <v>12</v>
      </c>
      <c r="B3" s="2" t="s">
        <v>13</v>
      </c>
    </row>
    <row r="4">
      <c r="A4" s="7" t="s">
        <v>14</v>
      </c>
      <c r="B4" s="8">
        <f>SUM(global_water_consumption.csv!C2:C1000)</f>
        <v>250612.2151</v>
      </c>
    </row>
    <row r="5">
      <c r="A5" s="7" t="s">
        <v>17</v>
      </c>
      <c r="B5" s="8">
        <f>AVERAGE(global_water_consumption.csv!D2:D1000)</f>
        <v>276.0047822</v>
      </c>
    </row>
    <row r="6">
      <c r="A6" s="7" t="s">
        <v>18</v>
      </c>
      <c r="B6" s="8">
        <f>AVERAGE(global_water_consumption.csv!E2:E1000)</f>
        <v>50.18082941</v>
      </c>
    </row>
    <row r="7">
      <c r="A7" s="7" t="s">
        <v>19</v>
      </c>
      <c r="B7" s="8">
        <f>AVERAGE(global_water_consumption.csv!F2:F1000)</f>
        <v>27.79283728</v>
      </c>
    </row>
    <row r="8">
      <c r="A8" s="7" t="s">
        <v>20</v>
      </c>
      <c r="B8" s="8">
        <f>AVERAGE(global_water_consumption.csv!G2:G1000)</f>
        <v>24.83251527</v>
      </c>
    </row>
    <row r="9">
      <c r="A9" s="7" t="s">
        <v>21</v>
      </c>
      <c r="B9" s="8">
        <f>AVERAGE(global_water_consumption.csv!H1:H1000)</f>
        <v>1544.8243</v>
      </c>
    </row>
    <row r="10">
      <c r="A10" s="7" t="s">
        <v>23</v>
      </c>
      <c r="B10" s="8">
        <f>AVERAGE(global_water_consumption.csv!I1:I1000)</f>
        <v>2.573037094</v>
      </c>
    </row>
    <row r="11">
      <c r="A11" s="7" t="s">
        <v>24</v>
      </c>
      <c r="B11" s="8">
        <f>COUNTIF(global_water_consumption.csv!J2:J1000, "High")</f>
        <v>18</v>
      </c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mergeCells count="1">
    <mergeCell ref="A1:B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7.25"/>
  </cols>
  <sheetData>
    <row r="1" ht="30.75" customHeight="1">
      <c r="A1" s="3" t="s">
        <v>2</v>
      </c>
    </row>
    <row r="2" ht="13.5" customHeight="1">
      <c r="A2" s="6"/>
      <c r="B2" s="6"/>
    </row>
    <row r="3" ht="46.5" customHeight="1">
      <c r="A3" s="8" t="s">
        <v>1</v>
      </c>
      <c r="B3" s="26" t="s">
        <v>65</v>
      </c>
    </row>
    <row r="4">
      <c r="A4" s="8" t="s">
        <v>15</v>
      </c>
      <c r="B4" s="8">
        <v>13284.860759399999</v>
      </c>
    </row>
    <row r="5">
      <c r="A5" s="8" t="s">
        <v>27</v>
      </c>
      <c r="B5" s="8">
        <v>13263.2874357</v>
      </c>
    </row>
    <row r="6">
      <c r="A6" s="8" t="s">
        <v>30</v>
      </c>
      <c r="B6" s="8">
        <v>13133.596733100001</v>
      </c>
    </row>
    <row r="7">
      <c r="A7" s="8" t="s">
        <v>48</v>
      </c>
      <c r="B7" s="8">
        <v>13058.950844299996</v>
      </c>
    </row>
    <row r="8">
      <c r="A8" s="8" t="s">
        <v>39</v>
      </c>
      <c r="B8" s="8">
        <v>12966.0786791</v>
      </c>
    </row>
    <row r="9">
      <c r="A9" s="8" t="s">
        <v>32</v>
      </c>
      <c r="B9" s="8">
        <v>12668.5889269</v>
      </c>
    </row>
    <row r="10">
      <c r="A10" s="8" t="s">
        <v>31</v>
      </c>
      <c r="B10" s="8">
        <v>12596.115706899996</v>
      </c>
    </row>
    <row r="11">
      <c r="A11" s="8" t="s">
        <v>36</v>
      </c>
      <c r="B11" s="8">
        <v>12585.6832167</v>
      </c>
    </row>
    <row r="12">
      <c r="A12" s="8" t="s">
        <v>33</v>
      </c>
      <c r="B12" s="8">
        <v>12581.662784499997</v>
      </c>
    </row>
    <row r="13">
      <c r="A13" s="8" t="s">
        <v>40</v>
      </c>
      <c r="B13" s="8">
        <v>12544.930893100001</v>
      </c>
    </row>
    <row r="14">
      <c r="A14" s="8" t="s">
        <v>26</v>
      </c>
      <c r="B14" s="8">
        <v>12505.778389299998</v>
      </c>
    </row>
    <row r="15">
      <c r="A15" s="8" t="s">
        <v>35</v>
      </c>
      <c r="B15" s="8">
        <v>12449.6315131</v>
      </c>
    </row>
    <row r="16">
      <c r="A16" s="8" t="s">
        <v>38</v>
      </c>
      <c r="B16" s="8">
        <v>12385.5265761</v>
      </c>
    </row>
    <row r="17">
      <c r="A17" s="8" t="s">
        <v>29</v>
      </c>
      <c r="B17" s="8">
        <v>12352.694690300003</v>
      </c>
    </row>
    <row r="18">
      <c r="A18" s="8" t="s">
        <v>41</v>
      </c>
      <c r="B18" s="8">
        <v>12184.867481</v>
      </c>
    </row>
    <row r="19">
      <c r="A19" s="8" t="s">
        <v>46</v>
      </c>
      <c r="B19" s="8">
        <v>12161.4747843</v>
      </c>
    </row>
    <row r="20">
      <c r="A20" s="8" t="s">
        <v>34</v>
      </c>
      <c r="B20" s="8">
        <v>12151.2674722</v>
      </c>
    </row>
    <row r="21">
      <c r="A21" s="8" t="s">
        <v>37</v>
      </c>
      <c r="B21" s="8">
        <v>12058.054255300001</v>
      </c>
    </row>
    <row r="22">
      <c r="A22" s="8" t="s">
        <v>45</v>
      </c>
      <c r="B22" s="8">
        <v>11882.584873899996</v>
      </c>
    </row>
    <row r="23">
      <c r="A23" s="8" t="s">
        <v>44</v>
      </c>
      <c r="B23" s="8">
        <v>11796.579074899997</v>
      </c>
    </row>
    <row r="24">
      <c r="A24" s="8" t="s">
        <v>66</v>
      </c>
      <c r="B24" s="8">
        <v>250612.21509009998</v>
      </c>
    </row>
    <row r="28">
      <c r="A28" s="3" t="s">
        <v>67</v>
      </c>
    </row>
    <row r="30">
      <c r="A30" s="8" t="s">
        <v>3</v>
      </c>
      <c r="B30" s="26" t="s">
        <v>65</v>
      </c>
    </row>
    <row r="31">
      <c r="A31" s="8">
        <v>2000.0</v>
      </c>
      <c r="B31" s="8">
        <v>10090.381994500001</v>
      </c>
    </row>
    <row r="32">
      <c r="A32" s="8">
        <v>2001.0</v>
      </c>
      <c r="B32" s="8">
        <v>10061.071938499997</v>
      </c>
    </row>
    <row r="33">
      <c r="A33" s="8">
        <v>2002.0</v>
      </c>
      <c r="B33" s="8">
        <v>9498.114950799998</v>
      </c>
    </row>
    <row r="34">
      <c r="A34" s="8">
        <v>2003.0</v>
      </c>
      <c r="B34" s="8">
        <v>10186.875737999999</v>
      </c>
    </row>
    <row r="35">
      <c r="A35" s="8">
        <v>2004.0</v>
      </c>
      <c r="B35" s="8">
        <v>10901.926143199998</v>
      </c>
    </row>
    <row r="36">
      <c r="A36" s="8">
        <v>2005.0</v>
      </c>
      <c r="B36" s="8">
        <v>9124.758542799998</v>
      </c>
    </row>
    <row r="37">
      <c r="A37" s="8">
        <v>2006.0</v>
      </c>
      <c r="B37" s="8">
        <v>9852.581136699999</v>
      </c>
    </row>
    <row r="38">
      <c r="A38" s="8">
        <v>2007.0</v>
      </c>
      <c r="B38" s="8">
        <v>10351.435882500002</v>
      </c>
    </row>
    <row r="39">
      <c r="A39" s="8">
        <v>2008.0</v>
      </c>
      <c r="B39" s="8">
        <v>11062.7757846</v>
      </c>
    </row>
    <row r="40">
      <c r="A40" s="8">
        <v>2009.0</v>
      </c>
      <c r="B40" s="8">
        <v>9397.9810487</v>
      </c>
    </row>
    <row r="41">
      <c r="A41" s="8">
        <v>2010.0</v>
      </c>
      <c r="B41" s="8">
        <v>9825.1152427</v>
      </c>
    </row>
    <row r="42">
      <c r="A42" s="8">
        <v>2011.0</v>
      </c>
      <c r="B42" s="8">
        <v>10499.058374699998</v>
      </c>
    </row>
    <row r="43">
      <c r="A43" s="8">
        <v>2012.0</v>
      </c>
      <c r="B43" s="8">
        <v>10681.3648556</v>
      </c>
    </row>
    <row r="44">
      <c r="A44" s="8">
        <v>2013.0</v>
      </c>
      <c r="B44" s="8">
        <v>9658.7488183</v>
      </c>
    </row>
    <row r="45">
      <c r="A45" s="8">
        <v>2014.0</v>
      </c>
      <c r="B45" s="8">
        <v>10153.322318600003</v>
      </c>
    </row>
    <row r="46">
      <c r="A46" s="8">
        <v>2015.0</v>
      </c>
      <c r="B46" s="8">
        <v>9811.7773113</v>
      </c>
    </row>
    <row r="47">
      <c r="A47" s="8">
        <v>2016.0</v>
      </c>
      <c r="B47" s="8">
        <v>9997.2771654</v>
      </c>
    </row>
    <row r="48">
      <c r="A48" s="8">
        <v>2017.0</v>
      </c>
      <c r="B48" s="8">
        <v>10370.696665399997</v>
      </c>
    </row>
    <row r="49">
      <c r="A49" s="8">
        <v>2018.0</v>
      </c>
      <c r="B49" s="8">
        <v>10443.218030199998</v>
      </c>
    </row>
    <row r="50">
      <c r="A50" s="8">
        <v>2019.0</v>
      </c>
      <c r="B50" s="8">
        <v>9899.099726399996</v>
      </c>
    </row>
    <row r="51">
      <c r="A51" s="8">
        <v>2020.0</v>
      </c>
      <c r="B51" s="8">
        <v>9469.327916299999</v>
      </c>
    </row>
    <row r="52">
      <c r="A52" s="8">
        <v>2021.0</v>
      </c>
      <c r="B52" s="8">
        <v>9609.0259395</v>
      </c>
    </row>
    <row r="53">
      <c r="A53" s="8">
        <v>2022.0</v>
      </c>
      <c r="B53" s="8">
        <v>10044.460188899999</v>
      </c>
    </row>
    <row r="54">
      <c r="A54" s="8">
        <v>2023.0</v>
      </c>
      <c r="B54" s="8">
        <v>9627.2027867</v>
      </c>
    </row>
    <row r="55">
      <c r="A55" s="8">
        <v>2024.0</v>
      </c>
      <c r="B55" s="8">
        <v>9994.616589799998</v>
      </c>
    </row>
    <row r="56">
      <c r="A56" s="8" t="s">
        <v>66</v>
      </c>
      <c r="B56" s="8">
        <v>250612.21509009998</v>
      </c>
    </row>
    <row r="60">
      <c r="A60" s="3" t="s">
        <v>68</v>
      </c>
    </row>
    <row r="62">
      <c r="A62" s="8" t="s">
        <v>1</v>
      </c>
      <c r="B62" s="26" t="s">
        <v>69</v>
      </c>
    </row>
    <row r="63">
      <c r="A63" s="8" t="s">
        <v>33</v>
      </c>
      <c r="B63" s="8">
        <v>295.16806734000005</v>
      </c>
    </row>
    <row r="64">
      <c r="A64" s="8" t="s">
        <v>35</v>
      </c>
      <c r="B64" s="8">
        <v>284.196262636</v>
      </c>
    </row>
    <row r="65">
      <c r="A65" s="8" t="s">
        <v>45</v>
      </c>
      <c r="B65" s="8">
        <v>281.703477536</v>
      </c>
    </row>
    <row r="66">
      <c r="A66" s="8" t="s">
        <v>46</v>
      </c>
      <c r="B66" s="8">
        <v>280.99844273599996</v>
      </c>
    </row>
    <row r="67">
      <c r="A67" s="8" t="s">
        <v>38</v>
      </c>
      <c r="B67" s="8">
        <v>280.95933</v>
      </c>
    </row>
    <row r="68">
      <c r="A68" s="8" t="s">
        <v>30</v>
      </c>
      <c r="B68" s="8">
        <v>280.30733344</v>
      </c>
    </row>
    <row r="69">
      <c r="A69" s="8" t="s">
        <v>37</v>
      </c>
      <c r="B69" s="8">
        <v>278.8984694239999</v>
      </c>
    </row>
    <row r="70">
      <c r="A70" s="8" t="s">
        <v>41</v>
      </c>
      <c r="B70" s="8">
        <v>277.3060198360001</v>
      </c>
    </row>
    <row r="71">
      <c r="A71" s="8" t="s">
        <v>48</v>
      </c>
      <c r="B71" s="8">
        <v>276.078787372</v>
      </c>
    </row>
    <row r="72">
      <c r="A72" s="8" t="s">
        <v>27</v>
      </c>
      <c r="B72" s="8">
        <v>275.952024712</v>
      </c>
    </row>
    <row r="73">
      <c r="A73" s="8" t="s">
        <v>40</v>
      </c>
      <c r="B73" s="8">
        <v>274.23724694399993</v>
      </c>
    </row>
    <row r="74">
      <c r="A74" s="8" t="s">
        <v>31</v>
      </c>
      <c r="B74" s="8">
        <v>274.04774351200007</v>
      </c>
    </row>
    <row r="75">
      <c r="A75" s="8" t="s">
        <v>26</v>
      </c>
      <c r="B75" s="8">
        <v>272.72482142800004</v>
      </c>
    </row>
    <row r="76">
      <c r="A76" s="8" t="s">
        <v>39</v>
      </c>
      <c r="B76" s="8">
        <v>272.71362518399997</v>
      </c>
    </row>
    <row r="77">
      <c r="A77" s="8" t="s">
        <v>44</v>
      </c>
      <c r="B77" s="8">
        <v>272.243216284</v>
      </c>
    </row>
    <row r="78">
      <c r="A78" s="8" t="s">
        <v>32</v>
      </c>
      <c r="B78" s="8">
        <v>270.422895812</v>
      </c>
    </row>
    <row r="79">
      <c r="A79" s="8" t="s">
        <v>36</v>
      </c>
      <c r="B79" s="8">
        <v>270.186856936</v>
      </c>
    </row>
    <row r="80">
      <c r="A80" s="8" t="s">
        <v>15</v>
      </c>
      <c r="B80" s="8">
        <v>269.131199476</v>
      </c>
    </row>
    <row r="81">
      <c r="A81" s="8" t="s">
        <v>29</v>
      </c>
      <c r="B81" s="8">
        <v>267.30286161199996</v>
      </c>
    </row>
    <row r="82">
      <c r="A82" s="8" t="s">
        <v>34</v>
      </c>
      <c r="B82" s="8">
        <v>265.51696140799993</v>
      </c>
    </row>
    <row r="83">
      <c r="A83" s="8" t="s">
        <v>66</v>
      </c>
      <c r="B83" s="8">
        <v>276.0047821814001</v>
      </c>
    </row>
    <row r="86">
      <c r="A86" s="3" t="s">
        <v>70</v>
      </c>
    </row>
    <row r="88">
      <c r="A88" s="8" t="s">
        <v>3</v>
      </c>
      <c r="B88" s="26" t="s">
        <v>71</v>
      </c>
    </row>
    <row r="89">
      <c r="A89" s="8">
        <v>2000.0</v>
      </c>
      <c r="B89" s="8">
        <v>2.6587936827000003</v>
      </c>
    </row>
    <row r="90">
      <c r="A90" s="8">
        <v>2001.0</v>
      </c>
      <c r="B90" s="8">
        <v>2.6146803369000002</v>
      </c>
    </row>
    <row r="91">
      <c r="A91" s="8">
        <v>2002.0</v>
      </c>
      <c r="B91" s="8">
        <v>2.4591799715000002</v>
      </c>
    </row>
    <row r="92">
      <c r="A92" s="8">
        <v>2003.0</v>
      </c>
      <c r="B92" s="8">
        <v>2.7009953297</v>
      </c>
    </row>
    <row r="93">
      <c r="A93" s="8">
        <v>2004.0</v>
      </c>
      <c r="B93" s="8">
        <v>2.50917516375</v>
      </c>
    </row>
    <row r="94">
      <c r="A94" s="8">
        <v>2005.0</v>
      </c>
      <c r="B94" s="8">
        <v>2.59639373055</v>
      </c>
    </row>
    <row r="95">
      <c r="A95" s="8">
        <v>2006.0</v>
      </c>
      <c r="B95" s="8">
        <v>2.688077034</v>
      </c>
    </row>
    <row r="96">
      <c r="A96" s="8">
        <v>2007.0</v>
      </c>
      <c r="B96" s="8">
        <v>2.5935851540500003</v>
      </c>
    </row>
    <row r="97">
      <c r="A97" s="8">
        <v>2008.0</v>
      </c>
      <c r="B97" s="8">
        <v>2.6637288435000004</v>
      </c>
    </row>
    <row r="98">
      <c r="A98" s="8">
        <v>2009.0</v>
      </c>
      <c r="B98" s="8">
        <v>2.5582257867499996</v>
      </c>
    </row>
    <row r="99">
      <c r="A99" s="8">
        <v>2010.0</v>
      </c>
      <c r="B99" s="8">
        <v>2.38043505795</v>
      </c>
    </row>
    <row r="100">
      <c r="A100" s="8">
        <v>2011.0</v>
      </c>
      <c r="B100" s="8">
        <v>2.5765127435500004</v>
      </c>
    </row>
    <row r="101">
      <c r="A101" s="8">
        <v>2012.0</v>
      </c>
      <c r="B101" s="8">
        <v>2.6558175995</v>
      </c>
    </row>
    <row r="102">
      <c r="A102" s="8">
        <v>2013.0</v>
      </c>
      <c r="B102" s="8">
        <v>2.4150329587500003</v>
      </c>
    </row>
    <row r="103">
      <c r="A103" s="8">
        <v>2014.0</v>
      </c>
      <c r="B103" s="8">
        <v>2.6666471195</v>
      </c>
    </row>
    <row r="104">
      <c r="A104" s="8">
        <v>2015.0</v>
      </c>
      <c r="B104" s="8">
        <v>2.9203482212</v>
      </c>
    </row>
    <row r="105">
      <c r="A105" s="8">
        <v>2016.0</v>
      </c>
      <c r="B105" s="8">
        <v>2.62652343355</v>
      </c>
    </row>
    <row r="106">
      <c r="A106" s="8">
        <v>2017.0</v>
      </c>
      <c r="B106" s="8">
        <v>2.56057733345</v>
      </c>
    </row>
    <row r="107">
      <c r="A107" s="8">
        <v>2018.0</v>
      </c>
      <c r="B107" s="8">
        <v>2.53218834775</v>
      </c>
    </row>
    <row r="108">
      <c r="A108" s="8">
        <v>2019.0</v>
      </c>
      <c r="B108" s="8">
        <v>2.6958109738000005</v>
      </c>
    </row>
    <row r="109">
      <c r="A109" s="8">
        <v>2020.0</v>
      </c>
      <c r="B109" s="8">
        <v>2.2492489564499993</v>
      </c>
    </row>
    <row r="110">
      <c r="A110" s="8">
        <v>2021.0</v>
      </c>
      <c r="B110" s="8">
        <v>2.4773848179</v>
      </c>
    </row>
    <row r="111">
      <c r="A111" s="8">
        <v>2022.0</v>
      </c>
      <c r="B111" s="8">
        <v>2.5884930270999997</v>
      </c>
    </row>
    <row r="112">
      <c r="A112" s="8">
        <v>2023.0</v>
      </c>
      <c r="B112" s="8">
        <v>2.4552783501</v>
      </c>
    </row>
    <row r="113">
      <c r="A113" s="8">
        <v>2024.0</v>
      </c>
      <c r="B113" s="8">
        <v>2.4827933712499997</v>
      </c>
    </row>
    <row r="114">
      <c r="A114" s="8" t="s">
        <v>66</v>
      </c>
      <c r="B114" s="8">
        <v>2.573037093808</v>
      </c>
    </row>
    <row r="117">
      <c r="A117" s="3" t="s">
        <v>72</v>
      </c>
    </row>
    <row r="119">
      <c r="A119" s="8" t="s">
        <v>1</v>
      </c>
      <c r="B119" s="26" t="s">
        <v>71</v>
      </c>
    </row>
    <row r="120">
      <c r="A120" s="8" t="s">
        <v>29</v>
      </c>
      <c r="B120" s="8">
        <v>2.83364078264</v>
      </c>
    </row>
    <row r="121">
      <c r="A121" s="8" t="s">
        <v>37</v>
      </c>
      <c r="B121" s="8">
        <v>2.798972769600001</v>
      </c>
    </row>
    <row r="122">
      <c r="A122" s="8" t="s">
        <v>15</v>
      </c>
      <c r="B122" s="8">
        <v>2.67294115192</v>
      </c>
    </row>
    <row r="123">
      <c r="A123" s="8" t="s">
        <v>44</v>
      </c>
      <c r="B123" s="8">
        <v>2.64661030532</v>
      </c>
    </row>
    <row r="124">
      <c r="A124" s="8" t="s">
        <v>31</v>
      </c>
      <c r="B124" s="8">
        <v>2.64165924188</v>
      </c>
    </row>
    <row r="125">
      <c r="A125" s="8" t="s">
        <v>46</v>
      </c>
      <c r="B125" s="8">
        <v>2.6101258341199998</v>
      </c>
    </row>
    <row r="126">
      <c r="A126" s="8" t="s">
        <v>26</v>
      </c>
      <c r="B126" s="8">
        <v>2.59007043332</v>
      </c>
    </row>
    <row r="127">
      <c r="A127" s="8" t="s">
        <v>32</v>
      </c>
      <c r="B127" s="8">
        <v>2.58686224888</v>
      </c>
    </row>
    <row r="128">
      <c r="A128" s="8" t="s">
        <v>41</v>
      </c>
      <c r="B128" s="8">
        <v>2.56707091744</v>
      </c>
    </row>
    <row r="129">
      <c r="A129" s="8" t="s">
        <v>30</v>
      </c>
      <c r="B129" s="8">
        <v>2.56496798308</v>
      </c>
    </row>
    <row r="130">
      <c r="A130" s="8" t="s">
        <v>38</v>
      </c>
      <c r="B130" s="8">
        <v>2.56017809904</v>
      </c>
    </row>
    <row r="131">
      <c r="A131" s="8" t="s">
        <v>40</v>
      </c>
      <c r="B131" s="8">
        <v>2.5481668098400005</v>
      </c>
    </row>
    <row r="132">
      <c r="A132" s="8" t="s">
        <v>34</v>
      </c>
      <c r="B132" s="8">
        <v>2.5316131535199995</v>
      </c>
    </row>
    <row r="133">
      <c r="A133" s="8" t="s">
        <v>27</v>
      </c>
      <c r="B133" s="8">
        <v>2.50455804292</v>
      </c>
    </row>
    <row r="134">
      <c r="A134" s="8" t="s">
        <v>39</v>
      </c>
      <c r="B134" s="8">
        <v>2.50280640532</v>
      </c>
    </row>
    <row r="135">
      <c r="A135" s="8" t="s">
        <v>45</v>
      </c>
      <c r="B135" s="8">
        <v>2.4871334881600005</v>
      </c>
    </row>
    <row r="136">
      <c r="A136" s="8" t="s">
        <v>33</v>
      </c>
      <c r="B136" s="8">
        <v>2.4857973925600003</v>
      </c>
    </row>
    <row r="137">
      <c r="A137" s="8" t="s">
        <v>35</v>
      </c>
      <c r="B137" s="8">
        <v>2.4766261227999995</v>
      </c>
    </row>
    <row r="138">
      <c r="A138" s="8" t="s">
        <v>36</v>
      </c>
      <c r="B138" s="8">
        <v>2.45018242984</v>
      </c>
    </row>
    <row r="139">
      <c r="A139" s="8" t="s">
        <v>48</v>
      </c>
      <c r="B139" s="8">
        <v>2.4007582639600002</v>
      </c>
    </row>
    <row r="140">
      <c r="A140" s="8" t="s">
        <v>66</v>
      </c>
      <c r="B140" s="8">
        <v>2.573037093808</v>
      </c>
    </row>
    <row r="148">
      <c r="A148" s="3" t="s">
        <v>56</v>
      </c>
    </row>
    <row r="150" ht="33.0" customHeight="1">
      <c r="A150" s="26" t="s">
        <v>11</v>
      </c>
      <c r="B150" s="26" t="s">
        <v>73</v>
      </c>
    </row>
    <row r="151">
      <c r="A151" s="8" t="s">
        <v>28</v>
      </c>
      <c r="B151" s="8">
        <v>18.0</v>
      </c>
    </row>
    <row r="152">
      <c r="A152" s="8" t="s">
        <v>25</v>
      </c>
      <c r="B152" s="8">
        <v>122.0</v>
      </c>
    </row>
    <row r="153">
      <c r="A153" s="8" t="s">
        <v>16</v>
      </c>
      <c r="B153" s="8">
        <v>360.0</v>
      </c>
    </row>
    <row r="154">
      <c r="A154" s="8" t="s">
        <v>66</v>
      </c>
      <c r="B154" s="8">
        <v>500.0</v>
      </c>
    </row>
    <row r="157">
      <c r="A157" s="3" t="s">
        <v>74</v>
      </c>
    </row>
    <row r="159">
      <c r="A159" s="8" t="s">
        <v>1</v>
      </c>
      <c r="B159" s="26" t="s">
        <v>75</v>
      </c>
      <c r="C159" s="26" t="s">
        <v>76</v>
      </c>
      <c r="D159" s="26" t="s">
        <v>77</v>
      </c>
    </row>
    <row r="160">
      <c r="A160" s="8" t="s">
        <v>15</v>
      </c>
      <c r="B160" s="8">
        <v>51.4379686016</v>
      </c>
      <c r="C160" s="8">
        <v>27.946761446800007</v>
      </c>
      <c r="D160" s="8">
        <v>24.994532226000004</v>
      </c>
    </row>
    <row r="161">
      <c r="A161" s="8" t="s">
        <v>26</v>
      </c>
      <c r="B161" s="8">
        <v>52.80133140079999</v>
      </c>
      <c r="C161" s="8">
        <v>28.72440352</v>
      </c>
      <c r="D161" s="8">
        <v>25.140504154</v>
      </c>
    </row>
    <row r="162">
      <c r="A162" s="8" t="s">
        <v>27</v>
      </c>
      <c r="B162" s="8">
        <v>49.755675616400005</v>
      </c>
      <c r="C162" s="8">
        <v>26.61229717840001</v>
      </c>
      <c r="D162" s="8">
        <v>24.858927833999992</v>
      </c>
    </row>
    <row r="163">
      <c r="A163" s="8" t="s">
        <v>29</v>
      </c>
      <c r="B163" s="8">
        <v>50.3280071836</v>
      </c>
      <c r="C163" s="8">
        <v>29.465351468399998</v>
      </c>
      <c r="D163" s="8">
        <v>24.8100806492</v>
      </c>
    </row>
    <row r="164">
      <c r="A164" s="8" t="s">
        <v>30</v>
      </c>
      <c r="B164" s="8">
        <v>51.705375192</v>
      </c>
      <c r="C164" s="8">
        <v>27.85479343</v>
      </c>
      <c r="D164" s="8">
        <v>25.5174215876</v>
      </c>
    </row>
    <row r="165">
      <c r="A165" s="8" t="s">
        <v>31</v>
      </c>
      <c r="B165" s="8">
        <v>48.69657455040001</v>
      </c>
      <c r="C165" s="8">
        <v>26.136218407599998</v>
      </c>
      <c r="D165" s="8">
        <v>25.299679983200004</v>
      </c>
    </row>
    <row r="166">
      <c r="A166" s="8" t="s">
        <v>32</v>
      </c>
      <c r="B166" s="8">
        <v>47.398330882399996</v>
      </c>
      <c r="C166" s="8">
        <v>28.64599462600001</v>
      </c>
      <c r="D166" s="8">
        <v>24.043111956799997</v>
      </c>
    </row>
    <row r="167">
      <c r="A167" s="8" t="s">
        <v>33</v>
      </c>
      <c r="B167" s="8">
        <v>49.7928300288</v>
      </c>
      <c r="C167" s="8">
        <v>27.919001273599996</v>
      </c>
      <c r="D167" s="8">
        <v>24.450921104</v>
      </c>
    </row>
    <row r="168">
      <c r="A168" s="8" t="s">
        <v>34</v>
      </c>
      <c r="B168" s="8">
        <v>49.5042494368</v>
      </c>
      <c r="C168" s="8">
        <v>26.85302661</v>
      </c>
      <c r="D168" s="8">
        <v>23.2459840156</v>
      </c>
    </row>
    <row r="169">
      <c r="A169" s="8" t="s">
        <v>35</v>
      </c>
      <c r="B169" s="8">
        <v>49.649513587599984</v>
      </c>
      <c r="C169" s="8">
        <v>28.078848847999996</v>
      </c>
      <c r="D169" s="8">
        <v>24.887128667999995</v>
      </c>
    </row>
    <row r="170">
      <c r="A170" s="8" t="s">
        <v>36</v>
      </c>
      <c r="B170" s="8">
        <v>49.519145346799995</v>
      </c>
      <c r="C170" s="8">
        <v>28.8218434796</v>
      </c>
      <c r="D170" s="8">
        <v>24.980344627999997</v>
      </c>
    </row>
    <row r="171">
      <c r="A171" s="8" t="s">
        <v>37</v>
      </c>
      <c r="B171" s="8">
        <v>49.668012005600005</v>
      </c>
      <c r="C171" s="8">
        <v>27.989065058000005</v>
      </c>
      <c r="D171" s="8">
        <v>24.3752037452</v>
      </c>
    </row>
    <row r="172">
      <c r="A172" s="8" t="s">
        <v>38</v>
      </c>
      <c r="B172" s="8">
        <v>50.53158018720001</v>
      </c>
      <c r="C172" s="8">
        <v>27.70346144119999</v>
      </c>
      <c r="D172" s="8">
        <v>24.8476952136</v>
      </c>
    </row>
    <row r="173">
      <c r="A173" s="8" t="s">
        <v>39</v>
      </c>
      <c r="B173" s="8">
        <v>49.011447701200005</v>
      </c>
      <c r="C173" s="8">
        <v>27.714797646399997</v>
      </c>
      <c r="D173" s="8">
        <v>25.709258068799997</v>
      </c>
    </row>
    <row r="174">
      <c r="A174" s="8" t="s">
        <v>40</v>
      </c>
      <c r="B174" s="8">
        <v>50.6697372264</v>
      </c>
      <c r="C174" s="8">
        <v>28.6870925056</v>
      </c>
      <c r="D174" s="8">
        <v>24.690756262799997</v>
      </c>
    </row>
    <row r="175">
      <c r="A175" s="8" t="s">
        <v>41</v>
      </c>
      <c r="B175" s="8">
        <v>50.47744001</v>
      </c>
      <c r="C175" s="8">
        <v>24.7636150236</v>
      </c>
      <c r="D175" s="8">
        <v>24.83479143520001</v>
      </c>
    </row>
    <row r="176">
      <c r="A176" s="8" t="s">
        <v>44</v>
      </c>
      <c r="B176" s="8">
        <v>49.949460729600005</v>
      </c>
      <c r="C176" s="8">
        <v>27.785027549599995</v>
      </c>
      <c r="D176" s="8">
        <v>25.099274624400003</v>
      </c>
    </row>
    <row r="177">
      <c r="A177" s="8" t="s">
        <v>45</v>
      </c>
      <c r="B177" s="8">
        <v>51.84063384559999</v>
      </c>
      <c r="C177" s="8">
        <v>29.1020008308</v>
      </c>
      <c r="D177" s="8">
        <v>24.435245548399998</v>
      </c>
    </row>
    <row r="178">
      <c r="A178" s="8" t="s">
        <v>46</v>
      </c>
      <c r="B178" s="8">
        <v>50.424591619199994</v>
      </c>
      <c r="C178" s="8">
        <v>27.690948226799996</v>
      </c>
      <c r="D178" s="8">
        <v>25.503205148000006</v>
      </c>
    </row>
    <row r="179">
      <c r="A179" s="8" t="s">
        <v>48</v>
      </c>
      <c r="B179" s="8">
        <v>50.4546829636</v>
      </c>
      <c r="C179" s="8">
        <v>27.3621969412</v>
      </c>
      <c r="D179" s="8">
        <v>24.926238614800003</v>
      </c>
    </row>
    <row r="180">
      <c r="A180" s="8" t="s">
        <v>66</v>
      </c>
      <c r="B180" s="8">
        <v>50.180829405780045</v>
      </c>
      <c r="C180" s="8">
        <v>27.79283727558002</v>
      </c>
      <c r="D180" s="8">
        <v>24.83251527338</v>
      </c>
    </row>
  </sheetData>
  <mergeCells count="1">
    <mergeCell ref="A1:B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15.63"/>
  </cols>
  <sheetData>
    <row r="1" ht="25.5" customHeight="1">
      <c r="A1" s="3" t="s">
        <v>47</v>
      </c>
    </row>
    <row r="2">
      <c r="C2" s="15"/>
    </row>
    <row r="3">
      <c r="A3" s="16" t="s">
        <v>1</v>
      </c>
      <c r="B3" s="16" t="s">
        <v>14</v>
      </c>
      <c r="C3" s="15"/>
    </row>
    <row r="4">
      <c r="A4" s="8" t="s">
        <v>15</v>
      </c>
      <c r="B4" s="17">
        <v>13284.860759399999</v>
      </c>
      <c r="C4" s="15"/>
    </row>
    <row r="5">
      <c r="A5" s="8" t="s">
        <v>27</v>
      </c>
      <c r="B5" s="17">
        <v>13263.2874357</v>
      </c>
      <c r="C5" s="15"/>
    </row>
    <row r="6">
      <c r="A6" s="8" t="s">
        <v>30</v>
      </c>
      <c r="B6" s="17">
        <v>13133.596733100001</v>
      </c>
      <c r="C6" s="15"/>
    </row>
    <row r="7">
      <c r="A7" s="8" t="s">
        <v>48</v>
      </c>
      <c r="B7" s="17">
        <v>13058.950844299996</v>
      </c>
      <c r="C7" s="15"/>
    </row>
    <row r="8">
      <c r="A8" s="8" t="s">
        <v>39</v>
      </c>
      <c r="B8" s="17">
        <v>12966.0786791</v>
      </c>
      <c r="C8" s="15"/>
    </row>
    <row r="9">
      <c r="C9" s="15"/>
    </row>
    <row r="10">
      <c r="C10" s="15"/>
    </row>
    <row r="11">
      <c r="C11" s="15"/>
    </row>
    <row r="12">
      <c r="C12" s="15"/>
    </row>
    <row r="13">
      <c r="C13" s="15"/>
    </row>
    <row r="14">
      <c r="C14" s="15"/>
    </row>
    <row r="15">
      <c r="C15" s="15"/>
    </row>
    <row r="16">
      <c r="C16" s="15"/>
    </row>
    <row r="17">
      <c r="C17" s="15"/>
    </row>
    <row r="18">
      <c r="C18" s="15"/>
    </row>
    <row r="19">
      <c r="C19" s="15"/>
    </row>
    <row r="20">
      <c r="C20" s="15"/>
    </row>
    <row r="21">
      <c r="C21" s="15"/>
    </row>
    <row r="22">
      <c r="C22" s="15"/>
    </row>
    <row r="23" ht="23.25" customHeight="1">
      <c r="A23" s="3" t="s">
        <v>49</v>
      </c>
    </row>
    <row r="24">
      <c r="C24" s="15"/>
    </row>
    <row r="25">
      <c r="A25" s="16" t="s">
        <v>1</v>
      </c>
      <c r="B25" s="16" t="s">
        <v>14</v>
      </c>
      <c r="C25" s="15"/>
    </row>
    <row r="26">
      <c r="A26" s="8" t="s">
        <v>44</v>
      </c>
      <c r="B26" s="18">
        <v>11796.579074899997</v>
      </c>
      <c r="C26" s="15"/>
    </row>
    <row r="27">
      <c r="A27" s="8" t="s">
        <v>45</v>
      </c>
      <c r="B27" s="18">
        <v>11882.584873899996</v>
      </c>
      <c r="C27" s="15"/>
    </row>
    <row r="28">
      <c r="A28" s="8" t="s">
        <v>37</v>
      </c>
      <c r="B28" s="18">
        <v>12058.054255300001</v>
      </c>
      <c r="C28" s="19"/>
      <c r="D28" s="20"/>
    </row>
    <row r="29">
      <c r="A29" s="8" t="s">
        <v>34</v>
      </c>
      <c r="B29" s="18">
        <v>12151.2674722</v>
      </c>
      <c r="C29" s="15"/>
    </row>
    <row r="30">
      <c r="A30" s="8" t="s">
        <v>46</v>
      </c>
      <c r="B30" s="18">
        <v>12161.4747843</v>
      </c>
      <c r="C30" s="15"/>
    </row>
    <row r="31">
      <c r="C31" s="15"/>
    </row>
    <row r="32">
      <c r="C32" s="15"/>
    </row>
    <row r="33">
      <c r="C33" s="15"/>
    </row>
    <row r="34">
      <c r="C34" s="15"/>
    </row>
    <row r="35">
      <c r="C35" s="15"/>
    </row>
    <row r="36">
      <c r="C36" s="15"/>
    </row>
    <row r="37">
      <c r="C37" s="15"/>
    </row>
    <row r="38">
      <c r="C38" s="15"/>
    </row>
    <row r="39">
      <c r="C39" s="15"/>
    </row>
    <row r="40">
      <c r="C40" s="15"/>
    </row>
    <row r="41">
      <c r="C41" s="15"/>
    </row>
    <row r="42">
      <c r="C42" s="15"/>
    </row>
    <row r="43">
      <c r="C43" s="15"/>
    </row>
    <row r="44">
      <c r="C44" s="15"/>
    </row>
    <row r="45">
      <c r="C45" s="15"/>
    </row>
    <row r="46" ht="30.75" customHeight="1">
      <c r="A46" s="3" t="s">
        <v>50</v>
      </c>
    </row>
    <row r="47">
      <c r="C47" s="15"/>
    </row>
    <row r="48" ht="30.75" customHeight="1">
      <c r="A48" s="2" t="s">
        <v>3</v>
      </c>
      <c r="B48" s="1" t="s">
        <v>14</v>
      </c>
      <c r="C48" s="21" t="s">
        <v>51</v>
      </c>
    </row>
    <row r="49">
      <c r="A49" s="8">
        <v>2000.0</v>
      </c>
      <c r="B49" s="17">
        <v>10090.381994500001</v>
      </c>
      <c r="C49" s="15"/>
    </row>
    <row r="50">
      <c r="A50" s="8">
        <v>2001.0</v>
      </c>
      <c r="B50" s="17">
        <v>10061.071938499997</v>
      </c>
      <c r="C50" s="22">
        <f t="shared" ref="C50:C73" si="1">(B50-B49)/B49</f>
        <v>-0.002904751873</v>
      </c>
    </row>
    <row r="51">
      <c r="A51" s="8">
        <v>2002.0</v>
      </c>
      <c r="B51" s="17">
        <v>9498.114950799998</v>
      </c>
      <c r="C51" s="22">
        <f t="shared" si="1"/>
        <v>-0.05595397699</v>
      </c>
    </row>
    <row r="52">
      <c r="A52" s="8">
        <v>2003.0</v>
      </c>
      <c r="B52" s="17">
        <v>10186.875737999999</v>
      </c>
      <c r="C52" s="22">
        <f t="shared" si="1"/>
        <v>0.07251552448</v>
      </c>
    </row>
    <row r="53">
      <c r="A53" s="8">
        <v>2004.0</v>
      </c>
      <c r="B53" s="17">
        <v>10901.926143199998</v>
      </c>
      <c r="C53" s="22">
        <f t="shared" si="1"/>
        <v>0.07019329808</v>
      </c>
    </row>
    <row r="54">
      <c r="A54" s="8">
        <v>2005.0</v>
      </c>
      <c r="B54" s="17">
        <v>9124.758542799998</v>
      </c>
      <c r="C54" s="22">
        <f t="shared" si="1"/>
        <v>-0.1630140928</v>
      </c>
    </row>
    <row r="55">
      <c r="A55" s="8">
        <v>2006.0</v>
      </c>
      <c r="B55" s="17">
        <v>9852.581136699999</v>
      </c>
      <c r="C55" s="22">
        <f t="shared" si="1"/>
        <v>0.07976349078</v>
      </c>
    </row>
    <row r="56">
      <c r="A56" s="8">
        <v>2007.0</v>
      </c>
      <c r="B56" s="17">
        <v>10351.435882500002</v>
      </c>
      <c r="C56" s="22">
        <f t="shared" si="1"/>
        <v>0.05063188406</v>
      </c>
    </row>
    <row r="57">
      <c r="A57" s="8">
        <v>2008.0</v>
      </c>
      <c r="B57" s="17">
        <v>11062.7757846</v>
      </c>
      <c r="C57" s="22">
        <f t="shared" si="1"/>
        <v>0.0687189594</v>
      </c>
    </row>
    <row r="58">
      <c r="A58" s="8">
        <v>2009.0</v>
      </c>
      <c r="B58" s="17">
        <v>9397.9810487</v>
      </c>
      <c r="C58" s="22">
        <f t="shared" si="1"/>
        <v>-0.1504861681</v>
      </c>
    </row>
    <row r="59">
      <c r="A59" s="8">
        <v>2010.0</v>
      </c>
      <c r="B59" s="17">
        <v>9825.1152427</v>
      </c>
      <c r="C59" s="22">
        <f t="shared" si="1"/>
        <v>0.04544956962</v>
      </c>
    </row>
    <row r="60">
      <c r="A60" s="8">
        <v>2011.0</v>
      </c>
      <c r="B60" s="17">
        <v>10499.058374699998</v>
      </c>
      <c r="C60" s="22">
        <f t="shared" si="1"/>
        <v>0.06859391624</v>
      </c>
    </row>
    <row r="61">
      <c r="A61" s="8">
        <v>2012.0</v>
      </c>
      <c r="B61" s="17">
        <v>10681.3648556</v>
      </c>
      <c r="C61" s="22">
        <f t="shared" si="1"/>
        <v>0.01736407918</v>
      </c>
    </row>
    <row r="62">
      <c r="A62" s="8">
        <v>2013.0</v>
      </c>
      <c r="B62" s="17">
        <v>9658.7488183</v>
      </c>
      <c r="C62" s="22">
        <f t="shared" si="1"/>
        <v>-0.09573833037</v>
      </c>
    </row>
    <row r="63">
      <c r="A63" s="8">
        <v>2014.0</v>
      </c>
      <c r="B63" s="17">
        <v>10153.322318600003</v>
      </c>
      <c r="C63" s="22">
        <f t="shared" si="1"/>
        <v>0.05120471705</v>
      </c>
    </row>
    <row r="64">
      <c r="A64" s="8">
        <v>2015.0</v>
      </c>
      <c r="B64" s="17">
        <v>9811.7773113</v>
      </c>
      <c r="C64" s="22">
        <f t="shared" si="1"/>
        <v>-0.03363874371</v>
      </c>
    </row>
    <row r="65">
      <c r="A65" s="8">
        <v>2016.0</v>
      </c>
      <c r="B65" s="17">
        <v>9997.2771654</v>
      </c>
      <c r="C65" s="22">
        <f t="shared" si="1"/>
        <v>0.01890583614</v>
      </c>
    </row>
    <row r="66">
      <c r="A66" s="8">
        <v>2017.0</v>
      </c>
      <c r="B66" s="17">
        <v>10370.696665399997</v>
      </c>
      <c r="C66" s="22">
        <f t="shared" si="1"/>
        <v>0.03735212036</v>
      </c>
    </row>
    <row r="67">
      <c r="A67" s="8">
        <v>2018.0</v>
      </c>
      <c r="B67" s="17">
        <v>10443.218030199998</v>
      </c>
      <c r="C67" s="22">
        <f t="shared" si="1"/>
        <v>0.00699291158</v>
      </c>
    </row>
    <row r="68">
      <c r="A68" s="8">
        <v>2019.0</v>
      </c>
      <c r="B68" s="17">
        <v>9899.099726399996</v>
      </c>
      <c r="C68" s="22">
        <f t="shared" si="1"/>
        <v>-0.05210255136</v>
      </c>
    </row>
    <row r="69">
      <c r="A69" s="8">
        <v>2020.0</v>
      </c>
      <c r="B69" s="17">
        <v>9469.327916299999</v>
      </c>
      <c r="C69" s="22">
        <f t="shared" si="1"/>
        <v>-0.04341524199</v>
      </c>
    </row>
    <row r="70">
      <c r="A70" s="8">
        <v>2021.0</v>
      </c>
      <c r="B70" s="17">
        <v>9609.0259395</v>
      </c>
      <c r="C70" s="22">
        <f t="shared" si="1"/>
        <v>0.01475268619</v>
      </c>
    </row>
    <row r="71">
      <c r="A71" s="8">
        <v>2022.0</v>
      </c>
      <c r="B71" s="17">
        <v>10044.460188899999</v>
      </c>
      <c r="C71" s="22">
        <f t="shared" si="1"/>
        <v>0.04531512894</v>
      </c>
    </row>
    <row r="72">
      <c r="A72" s="8">
        <v>2023.0</v>
      </c>
      <c r="B72" s="17">
        <v>9627.2027867</v>
      </c>
      <c r="C72" s="22">
        <f t="shared" si="1"/>
        <v>-0.04154104794</v>
      </c>
    </row>
    <row r="73">
      <c r="A73" s="8">
        <v>2024.0</v>
      </c>
      <c r="B73" s="17">
        <v>9994.616589799998</v>
      </c>
      <c r="C73" s="22">
        <f t="shared" si="1"/>
        <v>0.03816412838</v>
      </c>
    </row>
    <row r="74">
      <c r="C74" s="15"/>
    </row>
    <row r="75">
      <c r="C75" s="15"/>
    </row>
    <row r="76" ht="24.75" customHeight="1">
      <c r="A76" s="3" t="s">
        <v>52</v>
      </c>
    </row>
    <row r="77">
      <c r="C77" s="15"/>
    </row>
    <row r="78" ht="30.75" customHeight="1">
      <c r="A78" s="2" t="s">
        <v>1</v>
      </c>
      <c r="B78" s="23" t="s">
        <v>53</v>
      </c>
      <c r="C78" s="15"/>
    </row>
    <row r="79">
      <c r="A79" s="8" t="s">
        <v>33</v>
      </c>
      <c r="B79" s="8">
        <v>295.16806734000005</v>
      </c>
      <c r="C79" s="15"/>
    </row>
    <row r="80">
      <c r="A80" s="8" t="s">
        <v>35</v>
      </c>
      <c r="B80" s="8">
        <v>284.196262636</v>
      </c>
      <c r="C80" s="15"/>
    </row>
    <row r="81">
      <c r="A81" s="8" t="s">
        <v>45</v>
      </c>
      <c r="B81" s="8">
        <v>281.703477536</v>
      </c>
      <c r="C81" s="15"/>
    </row>
    <row r="82">
      <c r="A82" s="8" t="s">
        <v>46</v>
      </c>
      <c r="B82" s="8">
        <v>280.99844273599996</v>
      </c>
      <c r="C82" s="15"/>
    </row>
    <row r="83">
      <c r="A83" s="8" t="s">
        <v>38</v>
      </c>
      <c r="B83" s="8">
        <v>280.95933</v>
      </c>
      <c r="C83" s="15"/>
    </row>
    <row r="84">
      <c r="C84" s="15"/>
    </row>
    <row r="85">
      <c r="C85" s="15"/>
    </row>
    <row r="86">
      <c r="C86" s="15"/>
    </row>
    <row r="87">
      <c r="C87" s="15"/>
    </row>
    <row r="88">
      <c r="C88" s="15"/>
    </row>
    <row r="89">
      <c r="C89" s="15"/>
    </row>
    <row r="90">
      <c r="C90" s="15"/>
    </row>
    <row r="91">
      <c r="C91" s="15"/>
    </row>
    <row r="92">
      <c r="C92" s="15"/>
    </row>
    <row r="93">
      <c r="C93" s="15"/>
    </row>
    <row r="94">
      <c r="C94" s="15"/>
    </row>
    <row r="95">
      <c r="C95" s="15"/>
    </row>
    <row r="96">
      <c r="C96" s="15"/>
    </row>
    <row r="97">
      <c r="C97" s="15"/>
    </row>
    <row r="98">
      <c r="C98" s="15"/>
    </row>
    <row r="99">
      <c r="C99" s="15"/>
    </row>
    <row r="100" ht="27.75" customHeight="1">
      <c r="A100" s="3" t="s">
        <v>54</v>
      </c>
    </row>
    <row r="101">
      <c r="C101" s="15"/>
    </row>
    <row r="102" ht="24.0" customHeight="1">
      <c r="A102" s="16" t="s">
        <v>1</v>
      </c>
      <c r="B102" s="16" t="s">
        <v>55</v>
      </c>
      <c r="C102" s="15"/>
    </row>
    <row r="103">
      <c r="A103" s="8" t="s">
        <v>29</v>
      </c>
      <c r="B103" s="18">
        <v>2.83364078264</v>
      </c>
      <c r="C103" s="15"/>
    </row>
    <row r="104">
      <c r="A104" s="8" t="s">
        <v>37</v>
      </c>
      <c r="B104" s="18">
        <v>2.798972769600001</v>
      </c>
      <c r="C104" s="15"/>
    </row>
    <row r="105">
      <c r="A105" s="8" t="s">
        <v>15</v>
      </c>
      <c r="B105" s="18">
        <v>2.67294115192</v>
      </c>
      <c r="C105" s="15"/>
    </row>
    <row r="106">
      <c r="A106" s="8" t="s">
        <v>44</v>
      </c>
      <c r="B106" s="18">
        <v>2.64661030532</v>
      </c>
      <c r="C106" s="15"/>
    </row>
    <row r="107">
      <c r="A107" s="8" t="s">
        <v>31</v>
      </c>
      <c r="B107" s="18">
        <v>2.64165924188</v>
      </c>
      <c r="C107" s="15"/>
    </row>
    <row r="108">
      <c r="B108" s="18"/>
      <c r="C108" s="15"/>
    </row>
    <row r="109">
      <c r="B109" s="18"/>
      <c r="C109" s="15"/>
    </row>
    <row r="110">
      <c r="B110" s="18"/>
      <c r="C110" s="15"/>
    </row>
    <row r="111">
      <c r="B111" s="18"/>
      <c r="C111" s="15"/>
    </row>
    <row r="112">
      <c r="B112" s="18"/>
      <c r="C112" s="15"/>
    </row>
    <row r="113">
      <c r="C113" s="15"/>
    </row>
    <row r="114">
      <c r="C114" s="15"/>
    </row>
    <row r="115">
      <c r="C115" s="15"/>
    </row>
    <row r="116">
      <c r="C116" s="15"/>
    </row>
    <row r="117">
      <c r="C117" s="15"/>
    </row>
    <row r="118">
      <c r="C118" s="15"/>
    </row>
    <row r="119">
      <c r="C119" s="15"/>
    </row>
    <row r="120">
      <c r="C120" s="15"/>
    </row>
    <row r="121">
      <c r="C121" s="15"/>
    </row>
    <row r="122">
      <c r="C122" s="15"/>
    </row>
    <row r="123">
      <c r="C123" s="15"/>
    </row>
    <row r="124">
      <c r="C124" s="15"/>
    </row>
    <row r="125">
      <c r="A125" s="3" t="s">
        <v>56</v>
      </c>
      <c r="C125" s="15"/>
    </row>
    <row r="126">
      <c r="C126" s="15"/>
    </row>
    <row r="127" ht="35.25" customHeight="1">
      <c r="A127" s="24" t="s">
        <v>57</v>
      </c>
      <c r="B127" s="16" t="s">
        <v>58</v>
      </c>
      <c r="C127" s="15"/>
    </row>
    <row r="128">
      <c r="A128" s="8" t="s">
        <v>28</v>
      </c>
      <c r="B128" s="8">
        <v>18.0</v>
      </c>
      <c r="C128" s="15"/>
    </row>
    <row r="129">
      <c r="A129" s="8" t="s">
        <v>25</v>
      </c>
      <c r="B129" s="8">
        <v>122.0</v>
      </c>
      <c r="C129" s="15"/>
    </row>
    <row r="130">
      <c r="A130" s="8" t="s">
        <v>16</v>
      </c>
      <c r="B130" s="8">
        <v>360.0</v>
      </c>
      <c r="C130" s="15"/>
    </row>
    <row r="131">
      <c r="C131" s="15"/>
    </row>
    <row r="132">
      <c r="C132" s="15"/>
    </row>
    <row r="133">
      <c r="C133" s="15"/>
    </row>
    <row r="134">
      <c r="C134" s="15"/>
    </row>
    <row r="135">
      <c r="C135" s="15"/>
    </row>
    <row r="136">
      <c r="C136" s="15"/>
    </row>
    <row r="137">
      <c r="C137" s="15"/>
    </row>
    <row r="138">
      <c r="C138" s="15"/>
    </row>
    <row r="139">
      <c r="C139" s="15"/>
    </row>
    <row r="140">
      <c r="C140" s="15"/>
    </row>
    <row r="141">
      <c r="C141" s="15"/>
    </row>
    <row r="142">
      <c r="C142" s="15"/>
    </row>
    <row r="143">
      <c r="C143" s="15"/>
    </row>
    <row r="144">
      <c r="C144" s="15"/>
    </row>
    <row r="145">
      <c r="C145" s="15"/>
    </row>
    <row r="146">
      <c r="C146" s="15"/>
    </row>
    <row r="147">
      <c r="A147" s="3" t="s">
        <v>59</v>
      </c>
      <c r="C147" s="15"/>
    </row>
    <row r="148">
      <c r="C148" s="15"/>
    </row>
    <row r="149" ht="30.75" customHeight="1">
      <c r="A149" s="16" t="s">
        <v>60</v>
      </c>
      <c r="B149" s="23" t="s">
        <v>61</v>
      </c>
      <c r="C149" s="15"/>
    </row>
    <row r="150">
      <c r="A150" s="6" t="s">
        <v>62</v>
      </c>
      <c r="B150" s="17">
        <v>50.180829405780045</v>
      </c>
      <c r="C150" s="15"/>
    </row>
    <row r="151">
      <c r="A151" s="6" t="s">
        <v>63</v>
      </c>
      <c r="B151" s="25">
        <v>27.79</v>
      </c>
      <c r="C151" s="15"/>
    </row>
    <row r="152">
      <c r="A152" s="6" t="s">
        <v>64</v>
      </c>
      <c r="B152" s="17">
        <v>24.83251527338</v>
      </c>
      <c r="C152" s="15"/>
    </row>
    <row r="153">
      <c r="C153" s="15"/>
    </row>
    <row r="154">
      <c r="C154" s="15"/>
    </row>
    <row r="155">
      <c r="C155" s="15"/>
    </row>
    <row r="156">
      <c r="C156" s="15"/>
    </row>
    <row r="157">
      <c r="C157" s="15"/>
    </row>
    <row r="158">
      <c r="C158" s="15"/>
    </row>
    <row r="159">
      <c r="C159" s="15"/>
    </row>
    <row r="160">
      <c r="C160" s="15"/>
    </row>
    <row r="161">
      <c r="C161" s="15"/>
    </row>
    <row r="162">
      <c r="C162" s="15"/>
    </row>
    <row r="163">
      <c r="C163" s="15"/>
    </row>
    <row r="164">
      <c r="C164" s="15"/>
    </row>
    <row r="165">
      <c r="C165" s="15"/>
    </row>
    <row r="166">
      <c r="C166" s="15"/>
    </row>
    <row r="167">
      <c r="C167" s="15"/>
    </row>
    <row r="168">
      <c r="C168" s="15"/>
    </row>
    <row r="169">
      <c r="C169" s="15"/>
    </row>
    <row r="170">
      <c r="C170" s="15"/>
    </row>
    <row r="171">
      <c r="C171" s="15"/>
    </row>
    <row r="172">
      <c r="C172" s="15"/>
    </row>
    <row r="173">
      <c r="C173" s="15"/>
    </row>
    <row r="174">
      <c r="C174" s="15"/>
    </row>
    <row r="175">
      <c r="C175" s="15"/>
    </row>
    <row r="176">
      <c r="C176" s="15"/>
    </row>
    <row r="177">
      <c r="C177" s="15"/>
    </row>
    <row r="178">
      <c r="C178" s="15"/>
    </row>
    <row r="179">
      <c r="C179" s="15"/>
    </row>
    <row r="180">
      <c r="C180" s="15"/>
    </row>
    <row r="181">
      <c r="C181" s="15"/>
    </row>
    <row r="182">
      <c r="C182" s="15"/>
    </row>
    <row r="183">
      <c r="C183" s="15"/>
    </row>
    <row r="184">
      <c r="C184" s="15"/>
    </row>
    <row r="185">
      <c r="C185" s="15"/>
    </row>
    <row r="186">
      <c r="C186" s="15"/>
    </row>
    <row r="187">
      <c r="C187" s="15"/>
    </row>
    <row r="188">
      <c r="C188" s="15"/>
    </row>
    <row r="189">
      <c r="C189" s="15"/>
    </row>
    <row r="190">
      <c r="C190" s="15"/>
    </row>
    <row r="191">
      <c r="C191" s="15"/>
    </row>
    <row r="192">
      <c r="C192" s="15"/>
    </row>
    <row r="193">
      <c r="C193" s="15"/>
    </row>
    <row r="194">
      <c r="C194" s="15"/>
    </row>
    <row r="195">
      <c r="C195" s="15"/>
    </row>
    <row r="196">
      <c r="C196" s="15"/>
    </row>
    <row r="197">
      <c r="C197" s="15"/>
    </row>
    <row r="198">
      <c r="C198" s="15"/>
    </row>
    <row r="199">
      <c r="C199" s="15"/>
    </row>
    <row r="200">
      <c r="C200" s="15"/>
    </row>
    <row r="201">
      <c r="C201" s="15"/>
    </row>
    <row r="202">
      <c r="C202" s="15"/>
    </row>
    <row r="203">
      <c r="C203" s="15"/>
    </row>
    <row r="204">
      <c r="C204" s="15"/>
    </row>
    <row r="205">
      <c r="C205" s="15"/>
    </row>
    <row r="206">
      <c r="C206" s="15"/>
    </row>
    <row r="207">
      <c r="C207" s="15"/>
    </row>
    <row r="208">
      <c r="C208" s="15"/>
    </row>
    <row r="209">
      <c r="C209" s="15"/>
    </row>
    <row r="210">
      <c r="C210" s="15"/>
    </row>
    <row r="211">
      <c r="C211" s="15"/>
    </row>
    <row r="212">
      <c r="C212" s="15"/>
    </row>
    <row r="213">
      <c r="C213" s="15"/>
    </row>
    <row r="214">
      <c r="C214" s="15"/>
    </row>
    <row r="215">
      <c r="C215" s="15"/>
    </row>
    <row r="216">
      <c r="C216" s="15"/>
    </row>
    <row r="217">
      <c r="C217" s="15"/>
    </row>
    <row r="218">
      <c r="C218" s="15"/>
    </row>
    <row r="219">
      <c r="C219" s="15"/>
    </row>
    <row r="220">
      <c r="C220" s="15"/>
    </row>
    <row r="221">
      <c r="C221" s="15"/>
    </row>
    <row r="222">
      <c r="C222" s="15"/>
    </row>
    <row r="223">
      <c r="C223" s="15"/>
    </row>
    <row r="224">
      <c r="C224" s="15"/>
    </row>
    <row r="225">
      <c r="C225" s="15"/>
    </row>
    <row r="226">
      <c r="C226" s="15"/>
    </row>
    <row r="227">
      <c r="C227" s="15"/>
    </row>
    <row r="228">
      <c r="C228" s="15"/>
    </row>
    <row r="229">
      <c r="C229" s="15"/>
    </row>
    <row r="230">
      <c r="C230" s="15"/>
    </row>
    <row r="231">
      <c r="C231" s="15"/>
    </row>
    <row r="232">
      <c r="C232" s="15"/>
    </row>
    <row r="233">
      <c r="C233" s="15"/>
    </row>
    <row r="234">
      <c r="C234" s="15"/>
    </row>
    <row r="235">
      <c r="C235" s="15"/>
    </row>
    <row r="236">
      <c r="C236" s="15"/>
    </row>
    <row r="237">
      <c r="C237" s="15"/>
    </row>
    <row r="238">
      <c r="C238" s="15"/>
    </row>
    <row r="239">
      <c r="C239" s="15"/>
    </row>
    <row r="240">
      <c r="C240" s="15"/>
    </row>
    <row r="241">
      <c r="C241" s="15"/>
    </row>
    <row r="242">
      <c r="C242" s="15"/>
    </row>
    <row r="243">
      <c r="C243" s="15"/>
    </row>
    <row r="244">
      <c r="C244" s="15"/>
    </row>
    <row r="245">
      <c r="C245" s="15"/>
    </row>
    <row r="246">
      <c r="C246" s="15"/>
    </row>
    <row r="247">
      <c r="C247" s="15"/>
    </row>
    <row r="248">
      <c r="C248" s="15"/>
    </row>
    <row r="249">
      <c r="C249" s="15"/>
    </row>
    <row r="250">
      <c r="C250" s="15"/>
    </row>
    <row r="251">
      <c r="C251" s="15"/>
    </row>
    <row r="252">
      <c r="C252" s="15"/>
    </row>
    <row r="253">
      <c r="C253" s="15"/>
    </row>
    <row r="254">
      <c r="C254" s="15"/>
    </row>
    <row r="255">
      <c r="C255" s="15"/>
    </row>
    <row r="256">
      <c r="C256" s="15"/>
    </row>
    <row r="257">
      <c r="C257" s="15"/>
    </row>
    <row r="258">
      <c r="C258" s="15"/>
    </row>
    <row r="259">
      <c r="C259" s="15"/>
    </row>
    <row r="260">
      <c r="C260" s="15"/>
    </row>
    <row r="261">
      <c r="C261" s="15"/>
    </row>
    <row r="262">
      <c r="C262" s="15"/>
    </row>
    <row r="263">
      <c r="C263" s="15"/>
    </row>
    <row r="264">
      <c r="C264" s="15"/>
    </row>
    <row r="265">
      <c r="C265" s="15"/>
    </row>
    <row r="266">
      <c r="C266" s="15"/>
    </row>
    <row r="267">
      <c r="C267" s="15"/>
    </row>
    <row r="268">
      <c r="C268" s="15"/>
    </row>
    <row r="269">
      <c r="C269" s="15"/>
    </row>
    <row r="270">
      <c r="C270" s="15"/>
    </row>
    <row r="271">
      <c r="C271" s="15"/>
    </row>
    <row r="272">
      <c r="C272" s="15"/>
    </row>
    <row r="273">
      <c r="C273" s="15"/>
    </row>
    <row r="274">
      <c r="C274" s="15"/>
    </row>
    <row r="275">
      <c r="C275" s="15"/>
    </row>
    <row r="276">
      <c r="C276" s="15"/>
    </row>
    <row r="277">
      <c r="C277" s="15"/>
    </row>
    <row r="278">
      <c r="C278" s="15"/>
    </row>
    <row r="279">
      <c r="C279" s="15"/>
    </row>
    <row r="280">
      <c r="C280" s="15"/>
    </row>
    <row r="281">
      <c r="C281" s="15"/>
    </row>
    <row r="282">
      <c r="C282" s="15"/>
    </row>
    <row r="283">
      <c r="C283" s="15"/>
    </row>
    <row r="284">
      <c r="C284" s="15"/>
    </row>
    <row r="285">
      <c r="C285" s="15"/>
    </row>
    <row r="286">
      <c r="C286" s="15"/>
    </row>
    <row r="287">
      <c r="C287" s="15"/>
    </row>
    <row r="288">
      <c r="C288" s="15"/>
    </row>
    <row r="289">
      <c r="C289" s="15"/>
    </row>
    <row r="290">
      <c r="C290" s="15"/>
    </row>
    <row r="291">
      <c r="C291" s="15"/>
    </row>
    <row r="292">
      <c r="C292" s="15"/>
    </row>
    <row r="293">
      <c r="C293" s="15"/>
    </row>
    <row r="294">
      <c r="C294" s="15"/>
    </row>
    <row r="295">
      <c r="C295" s="15"/>
    </row>
    <row r="296">
      <c r="C296" s="15"/>
    </row>
    <row r="297">
      <c r="C297" s="15"/>
    </row>
    <row r="298">
      <c r="C298" s="15"/>
    </row>
    <row r="299">
      <c r="C299" s="15"/>
    </row>
    <row r="300">
      <c r="C300" s="15"/>
    </row>
    <row r="301">
      <c r="C301" s="15"/>
    </row>
    <row r="302">
      <c r="C302" s="15"/>
    </row>
    <row r="303">
      <c r="C303" s="15"/>
    </row>
    <row r="304">
      <c r="C304" s="15"/>
    </row>
    <row r="305">
      <c r="C305" s="15"/>
    </row>
    <row r="306">
      <c r="C306" s="15"/>
    </row>
    <row r="307">
      <c r="C307" s="15"/>
    </row>
    <row r="308">
      <c r="C308" s="15"/>
    </row>
    <row r="309">
      <c r="C309" s="15"/>
    </row>
    <row r="310">
      <c r="C310" s="15"/>
    </row>
    <row r="311">
      <c r="C311" s="15"/>
    </row>
    <row r="312">
      <c r="C312" s="15"/>
    </row>
    <row r="313">
      <c r="C313" s="15"/>
    </row>
    <row r="314">
      <c r="C314" s="15"/>
    </row>
    <row r="315">
      <c r="C315" s="15"/>
    </row>
    <row r="316">
      <c r="C316" s="15"/>
    </row>
    <row r="317">
      <c r="C317" s="15"/>
    </row>
    <row r="318">
      <c r="C318" s="15"/>
    </row>
    <row r="319">
      <c r="C319" s="15"/>
    </row>
    <row r="320">
      <c r="C320" s="15"/>
    </row>
    <row r="321">
      <c r="C321" s="15"/>
    </row>
    <row r="322">
      <c r="C322" s="15"/>
    </row>
    <row r="323">
      <c r="C323" s="15"/>
    </row>
    <row r="324">
      <c r="C324" s="15"/>
    </row>
    <row r="325">
      <c r="C325" s="15"/>
    </row>
    <row r="326">
      <c r="C326" s="15"/>
    </row>
    <row r="327">
      <c r="C327" s="15"/>
    </row>
    <row r="328">
      <c r="C328" s="15"/>
    </row>
    <row r="329">
      <c r="C329" s="15"/>
    </row>
    <row r="330">
      <c r="C330" s="15"/>
    </row>
    <row r="331">
      <c r="C331" s="15"/>
    </row>
    <row r="332">
      <c r="C332" s="15"/>
    </row>
    <row r="333">
      <c r="C333" s="15"/>
    </row>
    <row r="334">
      <c r="C334" s="15"/>
    </row>
    <row r="335">
      <c r="C335" s="15"/>
    </row>
    <row r="336">
      <c r="C336" s="15"/>
    </row>
    <row r="337">
      <c r="C337" s="15"/>
    </row>
    <row r="338">
      <c r="C338" s="15"/>
    </row>
    <row r="339">
      <c r="C339" s="15"/>
    </row>
    <row r="340">
      <c r="C340" s="15"/>
    </row>
    <row r="341">
      <c r="C341" s="15"/>
    </row>
    <row r="342">
      <c r="C342" s="15"/>
    </row>
    <row r="343">
      <c r="C343" s="15"/>
    </row>
    <row r="344">
      <c r="C344" s="15"/>
    </row>
    <row r="345">
      <c r="C345" s="15"/>
    </row>
    <row r="346">
      <c r="C346" s="15"/>
    </row>
    <row r="347">
      <c r="C347" s="15"/>
    </row>
    <row r="348">
      <c r="C348" s="15"/>
    </row>
    <row r="349">
      <c r="C349" s="15"/>
    </row>
    <row r="350">
      <c r="C350" s="15"/>
    </row>
    <row r="351">
      <c r="C351" s="15"/>
    </row>
    <row r="352">
      <c r="C352" s="15"/>
    </row>
    <row r="353">
      <c r="C353" s="15"/>
    </row>
    <row r="354">
      <c r="C354" s="15"/>
    </row>
    <row r="355">
      <c r="C355" s="15"/>
    </row>
    <row r="356">
      <c r="C356" s="15"/>
    </row>
    <row r="357">
      <c r="C357" s="15"/>
    </row>
    <row r="358">
      <c r="C358" s="15"/>
    </row>
    <row r="359">
      <c r="C359" s="15"/>
    </row>
    <row r="360">
      <c r="C360" s="15"/>
    </row>
    <row r="361">
      <c r="C361" s="15"/>
    </row>
    <row r="362">
      <c r="C362" s="15"/>
    </row>
    <row r="363">
      <c r="C363" s="15"/>
    </row>
    <row r="364">
      <c r="C364" s="15"/>
    </row>
    <row r="365">
      <c r="C365" s="15"/>
    </row>
    <row r="366">
      <c r="C366" s="15"/>
    </row>
    <row r="367">
      <c r="C367" s="15"/>
    </row>
    <row r="368">
      <c r="C368" s="15"/>
    </row>
    <row r="369">
      <c r="C369" s="15"/>
    </row>
    <row r="370">
      <c r="C370" s="15"/>
    </row>
    <row r="371">
      <c r="C371" s="15"/>
    </row>
    <row r="372">
      <c r="C372" s="15"/>
    </row>
    <row r="373">
      <c r="C373" s="15"/>
    </row>
    <row r="374">
      <c r="C374" s="15"/>
    </row>
    <row r="375">
      <c r="C375" s="15"/>
    </row>
    <row r="376">
      <c r="C376" s="15"/>
    </row>
    <row r="377">
      <c r="C377" s="15"/>
    </row>
    <row r="378">
      <c r="C378" s="15"/>
    </row>
    <row r="379">
      <c r="C379" s="15"/>
    </row>
    <row r="380">
      <c r="C380" s="15"/>
    </row>
    <row r="381">
      <c r="C381" s="15"/>
    </row>
    <row r="382">
      <c r="C382" s="15"/>
    </row>
    <row r="383">
      <c r="C383" s="15"/>
    </row>
    <row r="384">
      <c r="C384" s="15"/>
    </row>
    <row r="385">
      <c r="C385" s="15"/>
    </row>
    <row r="386">
      <c r="C386" s="15"/>
    </row>
    <row r="387">
      <c r="C387" s="15"/>
    </row>
    <row r="388">
      <c r="C388" s="15"/>
    </row>
    <row r="389">
      <c r="C389" s="15"/>
    </row>
    <row r="390">
      <c r="C390" s="15"/>
    </row>
    <row r="391">
      <c r="C391" s="15"/>
    </row>
    <row r="392">
      <c r="C392" s="15"/>
    </row>
    <row r="393">
      <c r="C393" s="15"/>
    </row>
    <row r="394">
      <c r="C394" s="15"/>
    </row>
    <row r="395">
      <c r="C395" s="15"/>
    </row>
    <row r="396">
      <c r="C396" s="15"/>
    </row>
    <row r="397">
      <c r="C397" s="15"/>
    </row>
    <row r="398">
      <c r="C398" s="15"/>
    </row>
    <row r="399">
      <c r="C399" s="15"/>
    </row>
    <row r="400">
      <c r="C400" s="15"/>
    </row>
    <row r="401">
      <c r="C401" s="15"/>
    </row>
    <row r="402">
      <c r="C402" s="15"/>
    </row>
    <row r="403">
      <c r="C403" s="15"/>
    </row>
    <row r="404">
      <c r="C404" s="15"/>
    </row>
    <row r="405">
      <c r="C405" s="15"/>
    </row>
    <row r="406">
      <c r="C406" s="15"/>
    </row>
    <row r="407">
      <c r="C407" s="15"/>
    </row>
    <row r="408">
      <c r="C408" s="15"/>
    </row>
    <row r="409">
      <c r="C409" s="15"/>
    </row>
    <row r="410">
      <c r="C410" s="15"/>
    </row>
    <row r="411">
      <c r="C411" s="15"/>
    </row>
    <row r="412">
      <c r="C412" s="15"/>
    </row>
    <row r="413">
      <c r="C413" s="15"/>
    </row>
    <row r="414">
      <c r="C414" s="15"/>
    </row>
    <row r="415">
      <c r="C415" s="15"/>
    </row>
    <row r="416">
      <c r="C416" s="15"/>
    </row>
    <row r="417">
      <c r="C417" s="15"/>
    </row>
    <row r="418">
      <c r="C418" s="15"/>
    </row>
    <row r="419">
      <c r="C419" s="15"/>
    </row>
    <row r="420">
      <c r="C420" s="15"/>
    </row>
    <row r="421">
      <c r="C421" s="15"/>
    </row>
    <row r="422">
      <c r="C422" s="15"/>
    </row>
    <row r="423">
      <c r="C423" s="15"/>
    </row>
    <row r="424">
      <c r="C424" s="15"/>
    </row>
    <row r="425">
      <c r="C425" s="15"/>
    </row>
    <row r="426">
      <c r="C426" s="15"/>
    </row>
    <row r="427">
      <c r="C427" s="15"/>
    </row>
    <row r="428">
      <c r="C428" s="15"/>
    </row>
    <row r="429">
      <c r="C429" s="15"/>
    </row>
    <row r="430">
      <c r="C430" s="15"/>
    </row>
    <row r="431">
      <c r="C431" s="15"/>
    </row>
    <row r="432">
      <c r="C432" s="15"/>
    </row>
    <row r="433">
      <c r="C433" s="15"/>
    </row>
    <row r="434">
      <c r="C434" s="15"/>
    </row>
    <row r="435">
      <c r="C435" s="15"/>
    </row>
    <row r="436">
      <c r="C436" s="15"/>
    </row>
    <row r="437">
      <c r="C437" s="15"/>
    </row>
    <row r="438">
      <c r="C438" s="15"/>
    </row>
    <row r="439">
      <c r="C439" s="15"/>
    </row>
    <row r="440">
      <c r="C440" s="15"/>
    </row>
    <row r="441">
      <c r="C441" s="15"/>
    </row>
    <row r="442">
      <c r="C442" s="15"/>
    </row>
    <row r="443">
      <c r="C443" s="15"/>
    </row>
    <row r="444">
      <c r="C444" s="15"/>
    </row>
    <row r="445">
      <c r="C445" s="15"/>
    </row>
    <row r="446">
      <c r="C446" s="15"/>
    </row>
    <row r="447">
      <c r="C447" s="15"/>
    </row>
    <row r="448">
      <c r="C448" s="15"/>
    </row>
    <row r="449">
      <c r="C449" s="15"/>
    </row>
    <row r="450">
      <c r="C450" s="15"/>
    </row>
    <row r="451">
      <c r="C451" s="15"/>
    </row>
    <row r="452">
      <c r="C452" s="15"/>
    </row>
    <row r="453">
      <c r="C453" s="15"/>
    </row>
    <row r="454">
      <c r="C454" s="15"/>
    </row>
    <row r="455">
      <c r="C455" s="15"/>
    </row>
    <row r="456">
      <c r="C456" s="15"/>
    </row>
    <row r="457">
      <c r="C457" s="15"/>
    </row>
    <row r="458">
      <c r="C458" s="15"/>
    </row>
    <row r="459">
      <c r="C459" s="15"/>
    </row>
    <row r="460">
      <c r="C460" s="15"/>
    </row>
    <row r="461">
      <c r="C461" s="15"/>
    </row>
    <row r="462">
      <c r="C462" s="15"/>
    </row>
    <row r="463">
      <c r="C463" s="15"/>
    </row>
    <row r="464">
      <c r="C464" s="15"/>
    </row>
    <row r="465">
      <c r="C465" s="15"/>
    </row>
    <row r="466">
      <c r="C466" s="15"/>
    </row>
    <row r="467">
      <c r="C467" s="15"/>
    </row>
    <row r="468">
      <c r="C468" s="15"/>
    </row>
    <row r="469">
      <c r="C469" s="15"/>
    </row>
    <row r="470">
      <c r="C470" s="15"/>
    </row>
    <row r="471">
      <c r="C471" s="15"/>
    </row>
    <row r="472">
      <c r="C472" s="15"/>
    </row>
    <row r="473">
      <c r="C473" s="15"/>
    </row>
    <row r="474">
      <c r="C474" s="15"/>
    </row>
    <row r="475">
      <c r="C475" s="15"/>
    </row>
    <row r="476">
      <c r="C476" s="15"/>
    </row>
    <row r="477">
      <c r="C477" s="15"/>
    </row>
    <row r="478">
      <c r="C478" s="15"/>
    </row>
    <row r="479">
      <c r="C479" s="15"/>
    </row>
    <row r="480">
      <c r="C480" s="15"/>
    </row>
    <row r="481">
      <c r="C481" s="15"/>
    </row>
    <row r="482">
      <c r="C482" s="15"/>
    </row>
    <row r="483">
      <c r="C483" s="15"/>
    </row>
    <row r="484">
      <c r="C484" s="15"/>
    </row>
    <row r="485">
      <c r="C485" s="15"/>
    </row>
    <row r="486">
      <c r="C486" s="15"/>
    </row>
    <row r="487">
      <c r="C487" s="15"/>
    </row>
    <row r="488">
      <c r="C488" s="15"/>
    </row>
    <row r="489">
      <c r="C489" s="15"/>
    </row>
    <row r="490">
      <c r="C490" s="15"/>
    </row>
    <row r="491">
      <c r="C491" s="15"/>
    </row>
    <row r="492">
      <c r="C492" s="15"/>
    </row>
    <row r="493">
      <c r="C493" s="15"/>
    </row>
    <row r="494">
      <c r="C494" s="15"/>
    </row>
    <row r="495">
      <c r="C495" s="15"/>
    </row>
    <row r="496">
      <c r="C496" s="15"/>
    </row>
    <row r="497">
      <c r="C497" s="15"/>
    </row>
    <row r="498">
      <c r="C498" s="15"/>
    </row>
    <row r="499">
      <c r="C499" s="15"/>
    </row>
    <row r="500">
      <c r="C500" s="15"/>
    </row>
    <row r="501">
      <c r="C501" s="15"/>
    </row>
    <row r="502">
      <c r="C502" s="15"/>
    </row>
    <row r="503">
      <c r="C503" s="15"/>
    </row>
    <row r="504">
      <c r="C504" s="15"/>
    </row>
    <row r="505">
      <c r="C505" s="15"/>
    </row>
    <row r="506">
      <c r="C506" s="15"/>
    </row>
    <row r="507">
      <c r="C507" s="15"/>
    </row>
    <row r="508">
      <c r="C508" s="15"/>
    </row>
    <row r="509">
      <c r="C509" s="15"/>
    </row>
    <row r="510">
      <c r="C510" s="15"/>
    </row>
    <row r="511">
      <c r="C511" s="15"/>
    </row>
    <row r="512">
      <c r="C512" s="15"/>
    </row>
    <row r="513">
      <c r="C513" s="15"/>
    </row>
    <row r="514">
      <c r="C514" s="15"/>
    </row>
    <row r="515">
      <c r="C515" s="15"/>
    </row>
    <row r="516">
      <c r="C516" s="15"/>
    </row>
    <row r="517">
      <c r="C517" s="15"/>
    </row>
    <row r="518">
      <c r="C518" s="15"/>
    </row>
    <row r="519">
      <c r="C519" s="15"/>
    </row>
    <row r="520">
      <c r="C520" s="15"/>
    </row>
    <row r="521">
      <c r="C521" s="15"/>
    </row>
    <row r="522">
      <c r="C522" s="15"/>
    </row>
    <row r="523">
      <c r="C523" s="15"/>
    </row>
    <row r="524">
      <c r="C524" s="15"/>
    </row>
    <row r="525">
      <c r="C525" s="15"/>
    </row>
    <row r="526">
      <c r="C526" s="15"/>
    </row>
    <row r="527">
      <c r="C527" s="15"/>
    </row>
    <row r="528">
      <c r="C528" s="15"/>
    </row>
    <row r="529">
      <c r="C529" s="15"/>
    </row>
    <row r="530">
      <c r="C530" s="15"/>
    </row>
    <row r="531">
      <c r="C531" s="15"/>
    </row>
    <row r="532">
      <c r="C532" s="15"/>
    </row>
    <row r="533">
      <c r="C533" s="15"/>
    </row>
    <row r="534">
      <c r="C534" s="15"/>
    </row>
    <row r="535">
      <c r="C535" s="15"/>
    </row>
    <row r="536">
      <c r="C536" s="15"/>
    </row>
    <row r="537">
      <c r="C537" s="15"/>
    </row>
    <row r="538">
      <c r="C538" s="15"/>
    </row>
    <row r="539">
      <c r="C539" s="15"/>
    </row>
    <row r="540">
      <c r="C540" s="15"/>
    </row>
    <row r="541">
      <c r="C541" s="15"/>
    </row>
    <row r="542">
      <c r="C542" s="15"/>
    </row>
    <row r="543">
      <c r="C543" s="15"/>
    </row>
    <row r="544">
      <c r="C544" s="15"/>
    </row>
    <row r="545">
      <c r="C545" s="15"/>
    </row>
    <row r="546">
      <c r="C546" s="15"/>
    </row>
    <row r="547">
      <c r="C547" s="15"/>
    </row>
    <row r="548">
      <c r="C548" s="15"/>
    </row>
    <row r="549">
      <c r="C549" s="15"/>
    </row>
    <row r="550">
      <c r="C550" s="15"/>
    </row>
    <row r="551">
      <c r="C551" s="15"/>
    </row>
    <row r="552">
      <c r="C552" s="15"/>
    </row>
    <row r="553">
      <c r="C553" s="15"/>
    </row>
    <row r="554">
      <c r="C554" s="15"/>
    </row>
    <row r="555">
      <c r="C555" s="15"/>
    </row>
    <row r="556">
      <c r="C556" s="15"/>
    </row>
    <row r="557">
      <c r="C557" s="15"/>
    </row>
    <row r="558">
      <c r="C558" s="15"/>
    </row>
    <row r="559">
      <c r="C559" s="15"/>
    </row>
    <row r="560">
      <c r="C560" s="15"/>
    </row>
    <row r="561">
      <c r="C561" s="15"/>
    </row>
    <row r="562">
      <c r="C562" s="15"/>
    </row>
    <row r="563">
      <c r="C563" s="15"/>
    </row>
    <row r="564">
      <c r="C564" s="15"/>
    </row>
    <row r="565">
      <c r="C565" s="15"/>
    </row>
    <row r="566">
      <c r="C566" s="15"/>
    </row>
    <row r="567">
      <c r="C567" s="15"/>
    </row>
    <row r="568">
      <c r="C568" s="15"/>
    </row>
    <row r="569">
      <c r="C569" s="15"/>
    </row>
    <row r="570">
      <c r="C570" s="15"/>
    </row>
    <row r="571">
      <c r="C571" s="15"/>
    </row>
    <row r="572">
      <c r="C572" s="15"/>
    </row>
    <row r="573">
      <c r="C573" s="15"/>
    </row>
    <row r="574">
      <c r="C574" s="15"/>
    </row>
    <row r="575">
      <c r="C575" s="15"/>
    </row>
    <row r="576">
      <c r="C576" s="15"/>
    </row>
    <row r="577">
      <c r="C577" s="15"/>
    </row>
    <row r="578">
      <c r="C578" s="15"/>
    </row>
    <row r="579">
      <c r="C579" s="15"/>
    </row>
    <row r="580">
      <c r="C580" s="15"/>
    </row>
    <row r="581">
      <c r="C581" s="15"/>
    </row>
    <row r="582">
      <c r="C582" s="15"/>
    </row>
    <row r="583">
      <c r="C583" s="15"/>
    </row>
    <row r="584">
      <c r="C584" s="15"/>
    </row>
    <row r="585">
      <c r="C585" s="15"/>
    </row>
    <row r="586">
      <c r="C586" s="15"/>
    </row>
    <row r="587">
      <c r="C587" s="15"/>
    </row>
    <row r="588">
      <c r="C588" s="15"/>
    </row>
    <row r="589">
      <c r="C589" s="15"/>
    </row>
    <row r="590">
      <c r="C590" s="15"/>
    </row>
    <row r="591">
      <c r="C591" s="15"/>
    </row>
    <row r="592">
      <c r="C592" s="15"/>
    </row>
    <row r="593">
      <c r="C593" s="15"/>
    </row>
    <row r="594">
      <c r="C594" s="15"/>
    </row>
    <row r="595">
      <c r="C595" s="15"/>
    </row>
    <row r="596">
      <c r="C596" s="15"/>
    </row>
    <row r="597">
      <c r="C597" s="15"/>
    </row>
    <row r="598">
      <c r="C598" s="15"/>
    </row>
    <row r="599">
      <c r="C599" s="15"/>
    </row>
    <row r="600">
      <c r="C600" s="15"/>
    </row>
    <row r="601">
      <c r="C601" s="15"/>
    </row>
    <row r="602">
      <c r="C602" s="15"/>
    </row>
    <row r="603">
      <c r="C603" s="15"/>
    </row>
    <row r="604">
      <c r="C604" s="15"/>
    </row>
    <row r="605">
      <c r="C605" s="15"/>
    </row>
    <row r="606">
      <c r="C606" s="15"/>
    </row>
    <row r="607">
      <c r="C607" s="15"/>
    </row>
    <row r="608">
      <c r="C608" s="15"/>
    </row>
    <row r="609">
      <c r="C609" s="15"/>
    </row>
    <row r="610">
      <c r="C610" s="15"/>
    </row>
    <row r="611">
      <c r="C611" s="15"/>
    </row>
    <row r="612">
      <c r="C612" s="15"/>
    </row>
    <row r="613">
      <c r="C613" s="15"/>
    </row>
    <row r="614">
      <c r="C614" s="15"/>
    </row>
    <row r="615">
      <c r="C615" s="15"/>
    </row>
    <row r="616">
      <c r="C616" s="15"/>
    </row>
    <row r="617">
      <c r="C617" s="15"/>
    </row>
    <row r="618">
      <c r="C618" s="15"/>
    </row>
    <row r="619">
      <c r="C619" s="15"/>
    </row>
    <row r="620">
      <c r="C620" s="15"/>
    </row>
    <row r="621">
      <c r="C621" s="15"/>
    </row>
    <row r="622">
      <c r="C622" s="15"/>
    </row>
    <row r="623">
      <c r="C623" s="15"/>
    </row>
    <row r="624">
      <c r="C624" s="15"/>
    </row>
    <row r="625">
      <c r="C625" s="15"/>
    </row>
    <row r="626">
      <c r="C626" s="15"/>
    </row>
    <row r="627">
      <c r="C627" s="15"/>
    </row>
    <row r="628">
      <c r="C628" s="15"/>
    </row>
    <row r="629">
      <c r="C629" s="15"/>
    </row>
    <row r="630">
      <c r="C630" s="15"/>
    </row>
    <row r="631">
      <c r="C631" s="15"/>
    </row>
    <row r="632">
      <c r="C632" s="15"/>
    </row>
    <row r="633">
      <c r="C633" s="15"/>
    </row>
    <row r="634">
      <c r="C634" s="15"/>
    </row>
    <row r="635">
      <c r="C635" s="15"/>
    </row>
    <row r="636">
      <c r="C636" s="15"/>
    </row>
    <row r="637">
      <c r="C637" s="15"/>
    </row>
    <row r="638">
      <c r="C638" s="15"/>
    </row>
    <row r="639">
      <c r="C639" s="15"/>
    </row>
    <row r="640">
      <c r="C640" s="15"/>
    </row>
    <row r="641">
      <c r="C641" s="15"/>
    </row>
    <row r="642">
      <c r="C642" s="15"/>
    </row>
    <row r="643">
      <c r="C643" s="15"/>
    </row>
    <row r="644">
      <c r="C644" s="15"/>
    </row>
    <row r="645">
      <c r="C645" s="15"/>
    </row>
    <row r="646">
      <c r="C646" s="15"/>
    </row>
    <row r="647">
      <c r="C647" s="15"/>
    </row>
    <row r="648">
      <c r="C648" s="15"/>
    </row>
    <row r="649">
      <c r="C649" s="15"/>
    </row>
    <row r="650">
      <c r="C650" s="15"/>
    </row>
    <row r="651">
      <c r="C651" s="15"/>
    </row>
    <row r="652">
      <c r="C652" s="15"/>
    </row>
    <row r="653">
      <c r="C653" s="15"/>
    </row>
    <row r="654">
      <c r="C654" s="15"/>
    </row>
    <row r="655">
      <c r="C655" s="15"/>
    </row>
    <row r="656">
      <c r="C656" s="15"/>
    </row>
    <row r="657">
      <c r="C657" s="15"/>
    </row>
    <row r="658">
      <c r="C658" s="15"/>
    </row>
    <row r="659">
      <c r="C659" s="15"/>
    </row>
    <row r="660">
      <c r="C660" s="15"/>
    </row>
    <row r="661">
      <c r="C661" s="15"/>
    </row>
    <row r="662">
      <c r="C662" s="15"/>
    </row>
    <row r="663">
      <c r="C663" s="15"/>
    </row>
    <row r="664">
      <c r="C664" s="15"/>
    </row>
    <row r="665">
      <c r="C665" s="15"/>
    </row>
    <row r="666">
      <c r="C666" s="15"/>
    </row>
    <row r="667">
      <c r="C667" s="15"/>
    </row>
    <row r="668">
      <c r="C668" s="15"/>
    </row>
    <row r="669">
      <c r="C669" s="15"/>
    </row>
    <row r="670">
      <c r="C670" s="15"/>
    </row>
    <row r="671">
      <c r="C671" s="15"/>
    </row>
    <row r="672">
      <c r="C672" s="15"/>
    </row>
    <row r="673">
      <c r="C673" s="15"/>
    </row>
    <row r="674">
      <c r="C674" s="15"/>
    </row>
    <row r="675">
      <c r="C675" s="15"/>
    </row>
    <row r="676">
      <c r="C676" s="15"/>
    </row>
    <row r="677">
      <c r="C677" s="15"/>
    </row>
    <row r="678">
      <c r="C678" s="15"/>
    </row>
    <row r="679">
      <c r="C679" s="15"/>
    </row>
    <row r="680">
      <c r="C680" s="15"/>
    </row>
    <row r="681">
      <c r="C681" s="15"/>
    </row>
    <row r="682">
      <c r="C682" s="15"/>
    </row>
    <row r="683">
      <c r="C683" s="15"/>
    </row>
    <row r="684">
      <c r="C684" s="15"/>
    </row>
    <row r="685">
      <c r="C685" s="15"/>
    </row>
    <row r="686">
      <c r="C686" s="15"/>
    </row>
    <row r="687">
      <c r="C687" s="15"/>
    </row>
    <row r="688">
      <c r="C688" s="15"/>
    </row>
    <row r="689">
      <c r="C689" s="15"/>
    </row>
    <row r="690">
      <c r="C690" s="15"/>
    </row>
    <row r="691">
      <c r="C691" s="15"/>
    </row>
    <row r="692">
      <c r="C692" s="15"/>
    </row>
    <row r="693">
      <c r="C693" s="15"/>
    </row>
    <row r="694">
      <c r="C694" s="15"/>
    </row>
    <row r="695">
      <c r="C695" s="15"/>
    </row>
    <row r="696">
      <c r="C696" s="15"/>
    </row>
    <row r="697">
      <c r="C697" s="15"/>
    </row>
    <row r="698">
      <c r="C698" s="15"/>
    </row>
    <row r="699">
      <c r="C699" s="15"/>
    </row>
    <row r="700">
      <c r="C700" s="15"/>
    </row>
    <row r="701">
      <c r="C701" s="15"/>
    </row>
    <row r="702">
      <c r="C702" s="15"/>
    </row>
    <row r="703">
      <c r="C703" s="15"/>
    </row>
    <row r="704">
      <c r="C704" s="15"/>
    </row>
    <row r="705">
      <c r="C705" s="15"/>
    </row>
    <row r="706">
      <c r="C706" s="15"/>
    </row>
    <row r="707">
      <c r="C707" s="15"/>
    </row>
    <row r="708">
      <c r="C708" s="15"/>
    </row>
    <row r="709">
      <c r="C709" s="15"/>
    </row>
    <row r="710">
      <c r="C710" s="15"/>
    </row>
    <row r="711">
      <c r="C711" s="15"/>
    </row>
    <row r="712">
      <c r="C712" s="15"/>
    </row>
    <row r="713">
      <c r="C713" s="15"/>
    </row>
    <row r="714">
      <c r="C714" s="15"/>
    </row>
    <row r="715">
      <c r="C715" s="15"/>
    </row>
    <row r="716">
      <c r="C716" s="15"/>
    </row>
    <row r="717">
      <c r="C717" s="15"/>
    </row>
    <row r="718">
      <c r="C718" s="15"/>
    </row>
    <row r="719">
      <c r="C719" s="15"/>
    </row>
    <row r="720">
      <c r="C720" s="15"/>
    </row>
    <row r="721">
      <c r="C721" s="15"/>
    </row>
    <row r="722">
      <c r="C722" s="15"/>
    </row>
    <row r="723">
      <c r="C723" s="15"/>
    </row>
    <row r="724">
      <c r="C724" s="15"/>
    </row>
    <row r="725">
      <c r="C725" s="15"/>
    </row>
    <row r="726">
      <c r="C726" s="15"/>
    </row>
    <row r="727">
      <c r="C727" s="15"/>
    </row>
    <row r="728">
      <c r="C728" s="15"/>
    </row>
    <row r="729">
      <c r="C729" s="15"/>
    </row>
    <row r="730">
      <c r="C730" s="15"/>
    </row>
    <row r="731">
      <c r="C731" s="15"/>
    </row>
    <row r="732">
      <c r="C732" s="15"/>
    </row>
    <row r="733">
      <c r="C733" s="15"/>
    </row>
    <row r="734">
      <c r="C734" s="15"/>
    </row>
    <row r="735">
      <c r="C735" s="15"/>
    </row>
    <row r="736">
      <c r="C736" s="15"/>
    </row>
    <row r="737">
      <c r="C737" s="15"/>
    </row>
    <row r="738">
      <c r="C738" s="15"/>
    </row>
    <row r="739">
      <c r="C739" s="15"/>
    </row>
    <row r="740">
      <c r="C740" s="15"/>
    </row>
    <row r="741">
      <c r="C741" s="15"/>
    </row>
    <row r="742">
      <c r="C742" s="15"/>
    </row>
    <row r="743">
      <c r="C743" s="15"/>
    </row>
    <row r="744">
      <c r="C744" s="15"/>
    </row>
    <row r="745">
      <c r="C745" s="15"/>
    </row>
    <row r="746">
      <c r="C746" s="15"/>
    </row>
    <row r="747">
      <c r="C747" s="15"/>
    </row>
    <row r="748">
      <c r="C748" s="15"/>
    </row>
    <row r="749">
      <c r="C749" s="15"/>
    </row>
    <row r="750">
      <c r="C750" s="15"/>
    </row>
    <row r="751">
      <c r="C751" s="15"/>
    </row>
    <row r="752">
      <c r="C752" s="15"/>
    </row>
    <row r="753">
      <c r="C753" s="15"/>
    </row>
    <row r="754">
      <c r="C754" s="15"/>
    </row>
    <row r="755">
      <c r="C755" s="15"/>
    </row>
    <row r="756">
      <c r="C756" s="15"/>
    </row>
    <row r="757">
      <c r="C757" s="15"/>
    </row>
    <row r="758">
      <c r="C758" s="15"/>
    </row>
    <row r="759">
      <c r="C759" s="15"/>
    </row>
    <row r="760">
      <c r="C760" s="15"/>
    </row>
    <row r="761">
      <c r="C761" s="15"/>
    </row>
    <row r="762">
      <c r="C762" s="15"/>
    </row>
    <row r="763">
      <c r="C763" s="15"/>
    </row>
    <row r="764">
      <c r="C764" s="15"/>
    </row>
    <row r="765">
      <c r="C765" s="15"/>
    </row>
    <row r="766">
      <c r="C766" s="15"/>
    </row>
    <row r="767">
      <c r="C767" s="15"/>
    </row>
    <row r="768">
      <c r="C768" s="15"/>
    </row>
    <row r="769">
      <c r="C769" s="15"/>
    </row>
    <row r="770">
      <c r="C770" s="15"/>
    </row>
    <row r="771">
      <c r="C771" s="15"/>
    </row>
    <row r="772">
      <c r="C772" s="15"/>
    </row>
    <row r="773">
      <c r="C773" s="15"/>
    </row>
    <row r="774">
      <c r="C774" s="15"/>
    </row>
    <row r="775">
      <c r="C775" s="15"/>
    </row>
    <row r="776">
      <c r="C776" s="15"/>
    </row>
    <row r="777">
      <c r="C777" s="15"/>
    </row>
    <row r="778">
      <c r="C778" s="15"/>
    </row>
    <row r="779">
      <c r="C779" s="15"/>
    </row>
    <row r="780">
      <c r="C780" s="15"/>
    </row>
    <row r="781">
      <c r="C781" s="15"/>
    </row>
    <row r="782">
      <c r="C782" s="15"/>
    </row>
    <row r="783">
      <c r="C783" s="15"/>
    </row>
    <row r="784">
      <c r="C784" s="15"/>
    </row>
    <row r="785">
      <c r="C785" s="15"/>
    </row>
    <row r="786">
      <c r="C786" s="15"/>
    </row>
    <row r="787">
      <c r="C787" s="15"/>
    </row>
    <row r="788">
      <c r="C788" s="15"/>
    </row>
    <row r="789">
      <c r="C789" s="15"/>
    </row>
    <row r="790">
      <c r="C790" s="15"/>
    </row>
    <row r="791">
      <c r="C791" s="15"/>
    </row>
    <row r="792">
      <c r="C792" s="15"/>
    </row>
    <row r="793">
      <c r="C793" s="15"/>
    </row>
    <row r="794">
      <c r="C794" s="15"/>
    </row>
    <row r="795">
      <c r="C795" s="15"/>
    </row>
    <row r="796">
      <c r="C796" s="15"/>
    </row>
    <row r="797">
      <c r="C797" s="15"/>
    </row>
    <row r="798">
      <c r="C798" s="15"/>
    </row>
    <row r="799">
      <c r="C799" s="15"/>
    </row>
    <row r="800">
      <c r="C800" s="15"/>
    </row>
    <row r="801">
      <c r="C801" s="15"/>
    </row>
    <row r="802">
      <c r="C802" s="15"/>
    </row>
    <row r="803">
      <c r="C803" s="15"/>
    </row>
    <row r="804">
      <c r="C804" s="15"/>
    </row>
    <row r="805">
      <c r="C805" s="15"/>
    </row>
    <row r="806">
      <c r="C806" s="15"/>
    </row>
    <row r="807">
      <c r="C807" s="15"/>
    </row>
    <row r="808">
      <c r="C808" s="15"/>
    </row>
    <row r="809">
      <c r="C809" s="15"/>
    </row>
    <row r="810">
      <c r="C810" s="15"/>
    </row>
    <row r="811">
      <c r="C811" s="15"/>
    </row>
    <row r="812">
      <c r="C812" s="15"/>
    </row>
    <row r="813">
      <c r="C813" s="15"/>
    </row>
    <row r="814">
      <c r="C814" s="15"/>
    </row>
    <row r="815">
      <c r="C815" s="15"/>
    </row>
    <row r="816">
      <c r="C816" s="15"/>
    </row>
    <row r="817">
      <c r="C817" s="15"/>
    </row>
    <row r="818">
      <c r="C818" s="15"/>
    </row>
    <row r="819">
      <c r="C819" s="15"/>
    </row>
    <row r="820">
      <c r="C820" s="15"/>
    </row>
    <row r="821">
      <c r="C821" s="15"/>
    </row>
    <row r="822">
      <c r="C822" s="15"/>
    </row>
    <row r="823">
      <c r="C823" s="15"/>
    </row>
    <row r="824">
      <c r="C824" s="15"/>
    </row>
    <row r="825">
      <c r="C825" s="15"/>
    </row>
    <row r="826">
      <c r="C826" s="15"/>
    </row>
    <row r="827">
      <c r="C827" s="15"/>
    </row>
    <row r="828">
      <c r="C828" s="15"/>
    </row>
    <row r="829">
      <c r="C829" s="15"/>
    </row>
    <row r="830">
      <c r="C830" s="15"/>
    </row>
    <row r="831">
      <c r="C831" s="15"/>
    </row>
    <row r="832">
      <c r="C832" s="15"/>
    </row>
    <row r="833">
      <c r="C833" s="15"/>
    </row>
    <row r="834">
      <c r="C834" s="15"/>
    </row>
    <row r="835">
      <c r="C835" s="15"/>
    </row>
    <row r="836">
      <c r="C836" s="15"/>
    </row>
    <row r="837">
      <c r="C837" s="15"/>
    </row>
    <row r="838">
      <c r="C838" s="15"/>
    </row>
    <row r="839">
      <c r="C839" s="15"/>
    </row>
    <row r="840">
      <c r="C840" s="15"/>
    </row>
    <row r="841">
      <c r="C841" s="15"/>
    </row>
    <row r="842">
      <c r="C842" s="15"/>
    </row>
    <row r="843">
      <c r="C843" s="15"/>
    </row>
    <row r="844">
      <c r="C844" s="15"/>
    </row>
    <row r="845">
      <c r="C845" s="15"/>
    </row>
    <row r="846">
      <c r="C846" s="15"/>
    </row>
    <row r="847">
      <c r="C847" s="15"/>
    </row>
    <row r="848">
      <c r="C848" s="15"/>
    </row>
    <row r="849">
      <c r="C849" s="15"/>
    </row>
    <row r="850">
      <c r="C850" s="15"/>
    </row>
    <row r="851">
      <c r="C851" s="15"/>
    </row>
    <row r="852">
      <c r="C852" s="15"/>
    </row>
    <row r="853">
      <c r="C853" s="15"/>
    </row>
    <row r="854">
      <c r="C854" s="15"/>
    </row>
    <row r="855">
      <c r="C855" s="15"/>
    </row>
    <row r="856">
      <c r="C856" s="15"/>
    </row>
    <row r="857">
      <c r="C857" s="15"/>
    </row>
    <row r="858">
      <c r="C858" s="15"/>
    </row>
    <row r="859">
      <c r="C859" s="15"/>
    </row>
    <row r="860">
      <c r="C860" s="15"/>
    </row>
    <row r="861">
      <c r="C861" s="15"/>
    </row>
    <row r="862">
      <c r="C862" s="15"/>
    </row>
    <row r="863">
      <c r="C863" s="15"/>
    </row>
    <row r="864">
      <c r="C864" s="15"/>
    </row>
    <row r="865">
      <c r="C865" s="15"/>
    </row>
    <row r="866">
      <c r="C866" s="15"/>
    </row>
    <row r="867">
      <c r="C867" s="15"/>
    </row>
    <row r="868">
      <c r="C868" s="15"/>
    </row>
    <row r="869">
      <c r="C869" s="15"/>
    </row>
    <row r="870">
      <c r="C870" s="15"/>
    </row>
    <row r="871">
      <c r="C871" s="15"/>
    </row>
    <row r="872">
      <c r="C872" s="15"/>
    </row>
    <row r="873">
      <c r="C873" s="15"/>
    </row>
    <row r="874">
      <c r="C874" s="15"/>
    </row>
    <row r="875">
      <c r="C875" s="15"/>
    </row>
    <row r="876">
      <c r="C876" s="15"/>
    </row>
    <row r="877">
      <c r="C877" s="15"/>
    </row>
    <row r="878">
      <c r="C878" s="15"/>
    </row>
    <row r="879">
      <c r="C879" s="15"/>
    </row>
    <row r="880">
      <c r="C880" s="15"/>
    </row>
    <row r="881">
      <c r="C881" s="15"/>
    </row>
    <row r="882">
      <c r="C882" s="15"/>
    </row>
    <row r="883">
      <c r="C883" s="15"/>
    </row>
    <row r="884">
      <c r="C884" s="15"/>
    </row>
    <row r="885">
      <c r="C885" s="15"/>
    </row>
    <row r="886">
      <c r="C886" s="15"/>
    </row>
    <row r="887">
      <c r="C887" s="15"/>
    </row>
    <row r="888">
      <c r="C888" s="15"/>
    </row>
    <row r="889">
      <c r="C889" s="15"/>
    </row>
    <row r="890">
      <c r="C890" s="15"/>
    </row>
    <row r="891">
      <c r="C891" s="15"/>
    </row>
    <row r="892">
      <c r="C892" s="15"/>
    </row>
    <row r="893">
      <c r="C893" s="15"/>
    </row>
    <row r="894">
      <c r="C894" s="15"/>
    </row>
    <row r="895">
      <c r="C895" s="15"/>
    </row>
    <row r="896">
      <c r="C896" s="15"/>
    </row>
    <row r="897">
      <c r="C897" s="15"/>
    </row>
    <row r="898">
      <c r="C898" s="15"/>
    </row>
    <row r="899">
      <c r="C899" s="15"/>
    </row>
    <row r="900">
      <c r="C900" s="15"/>
    </row>
    <row r="901">
      <c r="C901" s="15"/>
    </row>
    <row r="902">
      <c r="C902" s="15"/>
    </row>
    <row r="903">
      <c r="C903" s="15"/>
    </row>
    <row r="904">
      <c r="C904" s="15"/>
    </row>
    <row r="905">
      <c r="C905" s="15"/>
    </row>
    <row r="906">
      <c r="C906" s="15"/>
    </row>
    <row r="907">
      <c r="C907" s="15"/>
    </row>
    <row r="908">
      <c r="C908" s="15"/>
    </row>
    <row r="909">
      <c r="C909" s="15"/>
    </row>
    <row r="910">
      <c r="C910" s="15"/>
    </row>
    <row r="911">
      <c r="C911" s="15"/>
    </row>
    <row r="912">
      <c r="C912" s="15"/>
    </row>
    <row r="913">
      <c r="C913" s="15"/>
    </row>
    <row r="914">
      <c r="C914" s="15"/>
    </row>
    <row r="915">
      <c r="C915" s="15"/>
    </row>
    <row r="916">
      <c r="C916" s="15"/>
    </row>
    <row r="917">
      <c r="C917" s="15"/>
    </row>
    <row r="918">
      <c r="C918" s="15"/>
    </row>
    <row r="919">
      <c r="C919" s="15"/>
    </row>
    <row r="920">
      <c r="C920" s="15"/>
    </row>
    <row r="921">
      <c r="C921" s="15"/>
    </row>
    <row r="922">
      <c r="C922" s="15"/>
    </row>
    <row r="923">
      <c r="C923" s="15"/>
    </row>
    <row r="924">
      <c r="C924" s="15"/>
    </row>
    <row r="925">
      <c r="C925" s="15"/>
    </row>
    <row r="926">
      <c r="C926" s="15"/>
    </row>
    <row r="927">
      <c r="C927" s="15"/>
    </row>
    <row r="928">
      <c r="C928" s="15"/>
    </row>
    <row r="929">
      <c r="C929" s="15"/>
    </row>
    <row r="930">
      <c r="C930" s="15"/>
    </row>
    <row r="931">
      <c r="C931" s="15"/>
    </row>
    <row r="932">
      <c r="C932" s="15"/>
    </row>
    <row r="933">
      <c r="C933" s="15"/>
    </row>
    <row r="934">
      <c r="C934" s="15"/>
    </row>
    <row r="935">
      <c r="C935" s="15"/>
    </row>
    <row r="936">
      <c r="C936" s="15"/>
    </row>
    <row r="937">
      <c r="C937" s="15"/>
    </row>
    <row r="938">
      <c r="C938" s="15"/>
    </row>
    <row r="939">
      <c r="C939" s="15"/>
    </row>
    <row r="940">
      <c r="C940" s="15"/>
    </row>
    <row r="941">
      <c r="C941" s="15"/>
    </row>
    <row r="942">
      <c r="C942" s="15"/>
    </row>
    <row r="943">
      <c r="C943" s="15"/>
    </row>
    <row r="944">
      <c r="C944" s="15"/>
    </row>
    <row r="945">
      <c r="C945" s="15"/>
    </row>
    <row r="946">
      <c r="C946" s="15"/>
    </row>
    <row r="947">
      <c r="C947" s="15"/>
    </row>
    <row r="948">
      <c r="C948" s="15"/>
    </row>
    <row r="949">
      <c r="C949" s="15"/>
    </row>
    <row r="950">
      <c r="C950" s="15"/>
    </row>
    <row r="951">
      <c r="C951" s="15"/>
    </row>
    <row r="952">
      <c r="C952" s="15"/>
    </row>
    <row r="953">
      <c r="C953" s="15"/>
    </row>
    <row r="954">
      <c r="C954" s="15"/>
    </row>
    <row r="955">
      <c r="C955" s="15"/>
    </row>
    <row r="956">
      <c r="C956" s="15"/>
    </row>
    <row r="957">
      <c r="C957" s="15"/>
    </row>
    <row r="958">
      <c r="C958" s="15"/>
    </row>
    <row r="959">
      <c r="C959" s="15"/>
    </row>
    <row r="960">
      <c r="C960" s="15"/>
    </row>
    <row r="961">
      <c r="C961" s="15"/>
    </row>
    <row r="962">
      <c r="C962" s="15"/>
    </row>
    <row r="963">
      <c r="C963" s="15"/>
    </row>
    <row r="964">
      <c r="C964" s="15"/>
    </row>
    <row r="965">
      <c r="C965" s="15"/>
    </row>
    <row r="966">
      <c r="C966" s="15"/>
    </row>
    <row r="967">
      <c r="C967" s="15"/>
    </row>
    <row r="968">
      <c r="C968" s="15"/>
    </row>
    <row r="969">
      <c r="C969" s="15"/>
    </row>
    <row r="970">
      <c r="C970" s="15"/>
    </row>
    <row r="971">
      <c r="C971" s="15"/>
    </row>
    <row r="972">
      <c r="C972" s="15"/>
    </row>
    <row r="973">
      <c r="C973" s="15"/>
    </row>
    <row r="974">
      <c r="C974" s="15"/>
    </row>
    <row r="975">
      <c r="C975" s="15"/>
    </row>
    <row r="976">
      <c r="C976" s="15"/>
    </row>
    <row r="977">
      <c r="C977" s="15"/>
    </row>
    <row r="978">
      <c r="C978" s="15"/>
    </row>
    <row r="979">
      <c r="C979" s="15"/>
    </row>
    <row r="980">
      <c r="C980" s="15"/>
    </row>
    <row r="981">
      <c r="C981" s="15"/>
    </row>
    <row r="982">
      <c r="C982" s="15"/>
    </row>
    <row r="983">
      <c r="C983" s="15"/>
    </row>
    <row r="984">
      <c r="C984" s="15"/>
    </row>
    <row r="985">
      <c r="C985" s="15"/>
    </row>
    <row r="986">
      <c r="C986" s="15"/>
    </row>
    <row r="987">
      <c r="C987" s="15"/>
    </row>
    <row r="988">
      <c r="C988" s="15"/>
    </row>
    <row r="989">
      <c r="C989" s="15"/>
    </row>
    <row r="990">
      <c r="C990" s="15"/>
    </row>
    <row r="991">
      <c r="C991" s="15"/>
    </row>
    <row r="992">
      <c r="C992" s="15"/>
    </row>
    <row r="993">
      <c r="C993" s="15"/>
    </row>
    <row r="994">
      <c r="C994" s="15"/>
    </row>
    <row r="995">
      <c r="C995" s="15"/>
    </row>
    <row r="996">
      <c r="C996" s="15"/>
    </row>
    <row r="997">
      <c r="C997" s="15"/>
    </row>
    <row r="998">
      <c r="C998" s="15"/>
    </row>
    <row r="999">
      <c r="C999" s="15"/>
    </row>
    <row r="1000">
      <c r="C1000" s="15"/>
    </row>
    <row r="1001">
      <c r="C1001" s="15"/>
    </row>
    <row r="1002">
      <c r="C1002" s="15"/>
    </row>
    <row r="1003">
      <c r="C1003" s="15"/>
    </row>
    <row r="1004">
      <c r="C1004" s="15"/>
    </row>
    <row r="1005">
      <c r="C1005" s="15"/>
    </row>
    <row r="1006">
      <c r="C1006" s="15"/>
    </row>
    <row r="1007">
      <c r="C1007" s="15"/>
    </row>
    <row r="1008">
      <c r="C1008" s="15"/>
    </row>
    <row r="1009">
      <c r="C1009" s="15"/>
    </row>
    <row r="1010">
      <c r="C1010" s="15"/>
    </row>
    <row r="1011">
      <c r="C1011" s="15"/>
    </row>
    <row r="1012">
      <c r="C1012" s="15"/>
    </row>
    <row r="1013">
      <c r="C1013" s="15"/>
    </row>
    <row r="1014">
      <c r="C1014" s="15"/>
    </row>
    <row r="1015">
      <c r="C1015" s="15"/>
    </row>
    <row r="1016">
      <c r="C1016" s="15"/>
    </row>
    <row r="1017">
      <c r="C1017" s="15"/>
    </row>
    <row r="1018">
      <c r="C1018" s="15"/>
    </row>
    <row r="1019">
      <c r="C1019" s="15"/>
    </row>
    <row r="1020">
      <c r="C1020" s="15"/>
    </row>
    <row r="1021">
      <c r="C1021" s="15"/>
    </row>
    <row r="1022">
      <c r="C1022" s="15"/>
    </row>
    <row r="1023">
      <c r="C1023" s="15"/>
    </row>
    <row r="1024">
      <c r="C1024" s="15"/>
    </row>
    <row r="1025">
      <c r="C1025" s="15"/>
    </row>
    <row r="1026">
      <c r="C1026" s="15"/>
    </row>
    <row r="1027">
      <c r="C1027" s="15"/>
    </row>
    <row r="1028">
      <c r="C1028" s="15"/>
    </row>
    <row r="1029">
      <c r="C1029" s="15"/>
    </row>
    <row r="1030">
      <c r="C1030" s="15"/>
    </row>
    <row r="1031">
      <c r="C1031" s="15"/>
    </row>
    <row r="1032">
      <c r="C1032" s="15"/>
    </row>
    <row r="1033">
      <c r="C1033" s="15"/>
    </row>
    <row r="1034">
      <c r="C1034" s="15"/>
    </row>
    <row r="1035">
      <c r="C1035" s="15"/>
    </row>
    <row r="1036">
      <c r="C1036" s="15"/>
    </row>
    <row r="1037">
      <c r="C1037" s="15"/>
    </row>
    <row r="1038">
      <c r="C1038" s="15"/>
    </row>
    <row r="1039">
      <c r="C1039" s="15"/>
    </row>
    <row r="1040">
      <c r="C1040" s="15"/>
    </row>
    <row r="1041">
      <c r="C1041" s="15"/>
    </row>
    <row r="1042">
      <c r="C1042" s="15"/>
    </row>
    <row r="1043">
      <c r="C1043" s="15"/>
    </row>
    <row r="1044">
      <c r="C1044" s="15"/>
    </row>
    <row r="1045">
      <c r="C1045" s="15"/>
    </row>
    <row r="1046">
      <c r="C1046" s="15"/>
    </row>
    <row r="1047">
      <c r="C1047" s="15"/>
    </row>
    <row r="1048">
      <c r="C1048" s="15"/>
    </row>
    <row r="1049">
      <c r="C1049" s="15"/>
    </row>
    <row r="1050">
      <c r="C1050" s="15"/>
    </row>
    <row r="1051">
      <c r="C1051" s="15"/>
    </row>
    <row r="1052">
      <c r="C1052" s="15"/>
    </row>
    <row r="1053">
      <c r="C1053" s="15"/>
    </row>
    <row r="1054">
      <c r="C1054" s="15"/>
    </row>
    <row r="1055">
      <c r="C1055" s="15"/>
    </row>
    <row r="1056">
      <c r="C1056" s="15"/>
    </row>
    <row r="1057">
      <c r="C1057" s="15"/>
    </row>
    <row r="1058">
      <c r="C1058" s="15"/>
    </row>
  </sheetData>
  <mergeCells count="5">
    <mergeCell ref="A1:D1"/>
    <mergeCell ref="A23:D23"/>
    <mergeCell ref="A46:D46"/>
    <mergeCell ref="A76:C76"/>
    <mergeCell ref="A100:D10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3" max="3" width="24.88"/>
    <col customWidth="1" min="5" max="5" width="26.38"/>
    <col customWidth="1" min="7" max="7" width="24.75"/>
  </cols>
  <sheetData>
    <row r="1" ht="27.0" customHeight="1">
      <c r="A1" s="9" t="s">
        <v>42</v>
      </c>
    </row>
    <row r="3">
      <c r="A3" s="10" t="s">
        <v>14</v>
      </c>
      <c r="C3" s="11" t="s">
        <v>17</v>
      </c>
      <c r="E3" s="11" t="s">
        <v>43</v>
      </c>
      <c r="G3" s="11" t="s">
        <v>24</v>
      </c>
    </row>
    <row r="4">
      <c r="A4" s="12">
        <f>'KPI Summary'!B4</f>
        <v>250612.2151</v>
      </c>
      <c r="C4" s="13">
        <f>AVERAGE(global_water_consumption.csv!E1:E1000)</f>
        <v>50.18082941</v>
      </c>
      <c r="E4" s="13">
        <f>'KPI Summary'!B10</f>
        <v>2.573037094</v>
      </c>
      <c r="G4" s="14">
        <v>18.0</v>
      </c>
    </row>
  </sheetData>
  <mergeCells count="1">
    <mergeCell ref="A1:H1"/>
  </mergeCells>
  <drawing r:id="rId1"/>
</worksheet>
</file>